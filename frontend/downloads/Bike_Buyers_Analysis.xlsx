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G\Documents\PROJECTS\DATA ANALYSIS\"/>
    </mc:Choice>
  </mc:AlternateContent>
  <xr:revisionPtr revIDLastSave="0" documentId="8_{D97B8674-D20D-4B8E-B2B7-9C95747C4208}"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<sst xmlns="http://schemas.openxmlformats.org/spreadsheetml/2006/main" count="16274" uniqueCount="51">
  <si>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</si>
  <si>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</si>
  <si>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</si>
  <si>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</si>
  <si>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</si>
  <si>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</si>
  <si>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</si>
  <si>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</si>
  <si>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</si>
  <si>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</si>
  <si>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</si>
  <si>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</si>
  <si>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</si>
  <si>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</si>
  <si>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</si>
  <si>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</si>
  <si>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</si>
  <si>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</si>
  <si>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</si>
  <si>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</si>
  <si>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</si>
  <si>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</si>
  <si>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</si>
  <si>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</si>
  <si>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</si>
  <si>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</si>
  <si>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</si>
  <si>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</si>
  <si>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</si>
  <si>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</si>
  <si>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</si>
  <si>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</si>
  <si>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</si>
  <si>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</si>
  <si>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</si>
  <si>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</si>
  <si>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</si>
  <si>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</si>
  <si>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</si>
  <si>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</si>
  <si>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</si>
  <si>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</si>
  <si>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</si>
  <si>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</si>
  <si>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Adolescent</t>
  </si>
  <si>
    <t>Middle Age</t>
  </si>
  <si>
    <t>Old</t>
  </si>
  <si>
    <t>Average of Income</t>
  </si>
  <si>
    <t>Column Labels</t>
  </si>
  <si>
    <t>Count of Purchased Bike</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</si>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</sst>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43" fontId="0" fillId="0" borderId="0" xfId="42" applyFon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extLst>
            <c:ext xmlns:c16="http://schemas.microsoft.com/office/drawing/2014/chart" uri="{C3380CC4-5D6E-409C-BE32-E72D297353CC}">
              <c16:uniqueId val="{00000000-5194-47BE-861D-A8369DD817C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extLst>
            <c:ext xmlns:c16="http://schemas.microsoft.com/office/drawing/2014/chart" uri="{C3380CC4-5D6E-409C-BE32-E72D297353CC}">
              <c16:uniqueId val="{00000001-5194-47BE-861D-A8369DD817CB}"/>
            </c:ext>
          </c:extLst>
        </c:ser>
        <c:dLbls>
          <c:showLegendKey val="0"/>
          <c:showVal val="0"/>
          <c:showCatName val="0"/>
          <c:showSerName val="0"/>
          <c:showPercent val="0"/>
          <c:showBubbleSize val="0"/>
        </c:dLbls>
        <c:gapWidth val="219"/>
        <c:overlap val="-27"/>
        <c:axId val="526924176"/>
        <c:axId val="526924656"/>
      </c:barChart>
      <c:catAx>
        <c:axId val="52692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656"/>
        <c:crosses val="autoZero"/>
        <c:auto val="1"/>
        <c:lblAlgn val="ctr"/>
        <c:lblOffset val="100"/>
        <c:noMultiLvlLbl val="0"/>
      </c:catAx>
      <c:valAx>
        <c:axId val="526924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10+ Miles</c:v>
                </c:pt>
                <c:pt idx="2">
                  <c:v>1-2 Miles</c:v>
                </c:pt>
                <c:pt idx="3">
                  <c:v>2-5 Miles</c:v>
                </c:pt>
                <c:pt idx="4">
                  <c:v>5-10 Miles</c:v>
                </c:pt>
              </c:strCache>
            </c:strRef>
          </c:cat>
          <c:val>
            <c:numRef>
              <c:f>'pivot table'!$B$17:$B$22</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EF2F-49B4-AA23-09A0934351AC}"/>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10+ Miles</c:v>
                </c:pt>
                <c:pt idx="2">
                  <c:v>1-2 Miles</c:v>
                </c:pt>
                <c:pt idx="3">
                  <c:v>2-5 Miles</c:v>
                </c:pt>
                <c:pt idx="4">
                  <c:v>5-10 Miles</c:v>
                </c:pt>
              </c:strCache>
            </c:strRef>
          </c:cat>
          <c:val>
            <c:numRef>
              <c:f>'pivot table'!$C$17:$C$22</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EF2F-49B4-AA23-09A0934351AC}"/>
            </c:ext>
          </c:extLst>
        </c:ser>
        <c:dLbls>
          <c:showLegendKey val="0"/>
          <c:showVal val="0"/>
          <c:showCatName val="0"/>
          <c:showSerName val="0"/>
          <c:showPercent val="0"/>
          <c:showBubbleSize val="0"/>
        </c:dLbls>
        <c:smooth val="0"/>
        <c:axId val="626260656"/>
        <c:axId val="626259216"/>
      </c:lineChart>
      <c:catAx>
        <c:axId val="6262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59216"/>
        <c:crosses val="autoZero"/>
        <c:auto val="1"/>
        <c:lblAlgn val="ctr"/>
        <c:lblOffset val="100"/>
        <c:noMultiLvlLbl val="0"/>
      </c:catAx>
      <c:valAx>
        <c:axId val="62625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6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67</c:v>
                </c:pt>
                <c:pt idx="1">
                  <c:v>348</c:v>
                </c:pt>
                <c:pt idx="2">
                  <c:v>104</c:v>
                </c:pt>
              </c:numCache>
            </c:numRef>
          </c:val>
          <c:smooth val="0"/>
          <c:extLst>
            <c:ext xmlns:c16="http://schemas.microsoft.com/office/drawing/2014/chart" uri="{C3380CC4-5D6E-409C-BE32-E72D297353CC}">
              <c16:uniqueId val="{00000000-A40D-4926-984E-A8C166CE835E}"/>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56</c:v>
                </c:pt>
                <c:pt idx="1">
                  <c:v>343</c:v>
                </c:pt>
                <c:pt idx="2">
                  <c:v>82</c:v>
                </c:pt>
              </c:numCache>
            </c:numRef>
          </c:val>
          <c:smooth val="0"/>
          <c:extLst>
            <c:ext xmlns:c16="http://schemas.microsoft.com/office/drawing/2014/chart" uri="{C3380CC4-5D6E-409C-BE32-E72D297353CC}">
              <c16:uniqueId val="{00000001-A40D-4926-984E-A8C166CE835E}"/>
            </c:ext>
          </c:extLst>
        </c:ser>
        <c:dLbls>
          <c:showLegendKey val="0"/>
          <c:showVal val="0"/>
          <c:showCatName val="0"/>
          <c:showSerName val="0"/>
          <c:showPercent val="0"/>
          <c:showBubbleSize val="0"/>
        </c:dLbls>
        <c:marker val="1"/>
        <c:smooth val="0"/>
        <c:axId val="697803632"/>
        <c:axId val="697802672"/>
      </c:lineChart>
      <c:catAx>
        <c:axId val="6978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02672"/>
        <c:crosses val="autoZero"/>
        <c:auto val="1"/>
        <c:lblAlgn val="ctr"/>
        <c:lblOffset val="100"/>
        <c:noMultiLvlLbl val="0"/>
      </c:catAx>
      <c:valAx>
        <c:axId val="6978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0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table'!$B$48:$B$101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FF8-4FB7-A345-090D9564BD67}"/>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table'!$C$48:$C$101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FF8-4FB7-A345-090D9564BD67}"/>
            </c:ext>
          </c:extLst>
        </c:ser>
        <c:dLbls>
          <c:showLegendKey val="0"/>
          <c:showVal val="0"/>
          <c:showCatName val="0"/>
          <c:showSerName val="0"/>
          <c:showPercent val="0"/>
          <c:showBubbleSize val="0"/>
        </c:dLbls>
        <c:marker val="1"/>
        <c:smooth val="0"/>
        <c:axId val="692507904"/>
        <c:axId val="692506944"/>
      </c:lineChart>
      <c:catAx>
        <c:axId val="6925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06944"/>
        <c:crosses val="autoZero"/>
        <c:auto val="1"/>
        <c:lblAlgn val="ctr"/>
        <c:lblOffset val="100"/>
        <c:noMultiLvlLbl val="0"/>
      </c:catAx>
      <c:valAx>
        <c:axId val="69250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extLst>
            <c:ext xmlns:c16="http://schemas.microsoft.com/office/drawing/2014/chart" uri="{C3380CC4-5D6E-409C-BE32-E72D297353CC}">
              <c16:uniqueId val="{00000000-0ADB-4F13-B667-5C2DCF3C541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extLst>
            <c:ext xmlns:c16="http://schemas.microsoft.com/office/drawing/2014/chart" uri="{C3380CC4-5D6E-409C-BE32-E72D297353CC}">
              <c16:uniqueId val="{00000001-0ADB-4F13-B667-5C2DCF3C541B}"/>
            </c:ext>
          </c:extLst>
        </c:ser>
        <c:dLbls>
          <c:showLegendKey val="0"/>
          <c:showVal val="0"/>
          <c:showCatName val="0"/>
          <c:showSerName val="0"/>
          <c:showPercent val="0"/>
          <c:showBubbleSize val="0"/>
        </c:dLbls>
        <c:gapWidth val="219"/>
        <c:overlap val="-27"/>
        <c:axId val="526924176"/>
        <c:axId val="526924656"/>
      </c:barChart>
      <c:catAx>
        <c:axId val="52692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656"/>
        <c:crosses val="autoZero"/>
        <c:auto val="1"/>
        <c:lblAlgn val="ctr"/>
        <c:lblOffset val="100"/>
        <c:noMultiLvlLbl val="0"/>
      </c:catAx>
      <c:valAx>
        <c:axId val="526924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10+ Miles</c:v>
                </c:pt>
                <c:pt idx="2">
                  <c:v>1-2 Miles</c:v>
                </c:pt>
                <c:pt idx="3">
                  <c:v>2-5 Miles</c:v>
                </c:pt>
                <c:pt idx="4">
                  <c:v>5-10 Miles</c:v>
                </c:pt>
              </c:strCache>
            </c:strRef>
          </c:cat>
          <c:val>
            <c:numRef>
              <c:f>'pivot table'!$B$17:$B$22</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8B15-4E28-A5EC-69AD3FC3F835}"/>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10+ Miles</c:v>
                </c:pt>
                <c:pt idx="2">
                  <c:v>1-2 Miles</c:v>
                </c:pt>
                <c:pt idx="3">
                  <c:v>2-5 Miles</c:v>
                </c:pt>
                <c:pt idx="4">
                  <c:v>5-10 Miles</c:v>
                </c:pt>
              </c:strCache>
            </c:strRef>
          </c:cat>
          <c:val>
            <c:numRef>
              <c:f>'pivot table'!$C$17:$C$22</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8B15-4E28-A5EC-69AD3FC3F835}"/>
            </c:ext>
          </c:extLst>
        </c:ser>
        <c:dLbls>
          <c:showLegendKey val="0"/>
          <c:showVal val="0"/>
          <c:showCatName val="0"/>
          <c:showSerName val="0"/>
          <c:showPercent val="0"/>
          <c:showBubbleSize val="0"/>
        </c:dLbls>
        <c:smooth val="0"/>
        <c:axId val="626260656"/>
        <c:axId val="626259216"/>
      </c:lineChart>
      <c:catAx>
        <c:axId val="6262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59216"/>
        <c:crosses val="autoZero"/>
        <c:auto val="1"/>
        <c:lblAlgn val="ctr"/>
        <c:lblOffset val="100"/>
        <c:noMultiLvlLbl val="0"/>
      </c:catAx>
      <c:valAx>
        <c:axId val="62625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6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67</c:v>
                </c:pt>
                <c:pt idx="1">
                  <c:v>348</c:v>
                </c:pt>
                <c:pt idx="2">
                  <c:v>104</c:v>
                </c:pt>
              </c:numCache>
            </c:numRef>
          </c:val>
          <c:smooth val="0"/>
          <c:extLst>
            <c:ext xmlns:c16="http://schemas.microsoft.com/office/drawing/2014/chart" uri="{C3380CC4-5D6E-409C-BE32-E72D297353CC}">
              <c16:uniqueId val="{00000000-B2E5-4760-9940-42067A863965}"/>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56</c:v>
                </c:pt>
                <c:pt idx="1">
                  <c:v>343</c:v>
                </c:pt>
                <c:pt idx="2">
                  <c:v>82</c:v>
                </c:pt>
              </c:numCache>
            </c:numRef>
          </c:val>
          <c:smooth val="0"/>
          <c:extLst>
            <c:ext xmlns:c16="http://schemas.microsoft.com/office/drawing/2014/chart" uri="{C3380CC4-5D6E-409C-BE32-E72D297353CC}">
              <c16:uniqueId val="{00000001-B2E5-4760-9940-42067A863965}"/>
            </c:ext>
          </c:extLst>
        </c:ser>
        <c:dLbls>
          <c:showLegendKey val="0"/>
          <c:showVal val="0"/>
          <c:showCatName val="0"/>
          <c:showSerName val="0"/>
          <c:showPercent val="0"/>
          <c:showBubbleSize val="0"/>
        </c:dLbls>
        <c:marker val="1"/>
        <c:smooth val="0"/>
        <c:axId val="697803632"/>
        <c:axId val="697802672"/>
      </c:lineChart>
      <c:catAx>
        <c:axId val="6978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02672"/>
        <c:crosses val="autoZero"/>
        <c:auto val="1"/>
        <c:lblAlgn val="ctr"/>
        <c:lblOffset val="100"/>
        <c:noMultiLvlLbl val="0"/>
      </c:catAx>
      <c:valAx>
        <c:axId val="6978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0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238124</xdr:colOff>
      <xdr:row>0</xdr:row>
      <xdr:rowOff>100011</xdr:rowOff>
    </xdr:from>
    <xdr:to>
      <xdr:col>10</xdr:col>
      <xdr:colOff>438149</xdr:colOff>
      <xdr:row>11</xdr:row>
      <xdr:rowOff>161924</xdr:rowOff>
    </xdr:to>
    <xdr:graphicFrame macro="">
      <xdr:nvGraphicFramePr>
        <xdr:cNvPr id="2" name="Chart 1">
          <a:extLst>
            <a:ext uri="{FF2B5EF4-FFF2-40B4-BE49-F238E27FC236}">
              <a16:creationId xmlns:a16="http://schemas.microsoft.com/office/drawing/2014/main" id="{AA68FA03-AB46-E54E-0C65-1F4ACADBC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12</xdr:row>
      <xdr:rowOff>166687</xdr:rowOff>
    </xdr:from>
    <xdr:to>
      <xdr:col>12</xdr:col>
      <xdr:colOff>104775</xdr:colOff>
      <xdr:row>27</xdr:row>
      <xdr:rowOff>52387</xdr:rowOff>
    </xdr:to>
    <xdr:graphicFrame macro="">
      <xdr:nvGraphicFramePr>
        <xdr:cNvPr id="4" name="Chart 3">
          <a:extLst>
            <a:ext uri="{FF2B5EF4-FFF2-40B4-BE49-F238E27FC236}">
              <a16:creationId xmlns:a16="http://schemas.microsoft.com/office/drawing/2014/main" id="{B321F848-EE60-D95F-7BA7-30B3A0CF7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27</xdr:row>
      <xdr:rowOff>157162</xdr:rowOff>
    </xdr:from>
    <xdr:to>
      <xdr:col>11</xdr:col>
      <xdr:colOff>590550</xdr:colOff>
      <xdr:row>42</xdr:row>
      <xdr:rowOff>42862</xdr:rowOff>
    </xdr:to>
    <xdr:graphicFrame macro="">
      <xdr:nvGraphicFramePr>
        <xdr:cNvPr id="5" name="Chart 4">
          <a:extLst>
            <a:ext uri="{FF2B5EF4-FFF2-40B4-BE49-F238E27FC236}">
              <a16:creationId xmlns:a16="http://schemas.microsoft.com/office/drawing/2014/main" id="{35B8970A-0B13-7ABA-AA40-B96316464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133350</xdr:colOff>
      <xdr:row>46</xdr:row>
      <xdr:rowOff>52387</xdr:rowOff>
    </xdr:from>
    <xdr:to>
      <xdr:col>11</xdr:col>
      <xdr:colOff>438150</xdr:colOff>
      <xdr:row>60</xdr:row>
      <xdr:rowOff>128587</xdr:rowOff>
    </xdr:to>
    <xdr:graphicFrame macro="">
      <xdr:nvGraphicFramePr>
        <xdr:cNvPr id="6" name="Chart 5">
          <a:extLst>
            <a:ext uri="{FF2B5EF4-FFF2-40B4-BE49-F238E27FC236}">
              <a16:creationId xmlns:a16="http://schemas.microsoft.com/office/drawing/2014/main" id="{98F2B766-8994-80CE-38A9-F12A0F05A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175374</xdr:colOff>
      <xdr:row>3</xdr:row>
      <xdr:rowOff>55470</xdr:rowOff>
    </xdr:from>
    <xdr:to>
      <xdr:col>7</xdr:col>
      <xdr:colOff>499222</xdr:colOff>
      <xdr:row>12</xdr:row>
      <xdr:rowOff>141194</xdr:rowOff>
    </xdr:to>
    <xdr:graphicFrame macro="">
      <xdr:nvGraphicFramePr>
        <xdr:cNvPr id="2" name="Chart 1">
          <a:extLst>
            <a:ext uri="{FF2B5EF4-FFF2-40B4-BE49-F238E27FC236}">
              <a16:creationId xmlns:a16="http://schemas.microsoft.com/office/drawing/2014/main" id="{8356EF4D-C4AF-4ADB-8D56-1CB17B075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201706</xdr:colOff>
      <xdr:row>13</xdr:row>
      <xdr:rowOff>63873</xdr:rowOff>
    </xdr:from>
    <xdr:to>
      <xdr:col>11</xdr:col>
      <xdr:colOff>481854</xdr:colOff>
      <xdr:row>25</xdr:row>
      <xdr:rowOff>11205</xdr:rowOff>
    </xdr:to>
    <xdr:graphicFrame macro="">
      <xdr:nvGraphicFramePr>
        <xdr:cNvPr id="3" name="Chart 2">
          <a:extLst>
            <a:ext uri="{FF2B5EF4-FFF2-40B4-BE49-F238E27FC236}">
              <a16:creationId xmlns:a16="http://schemas.microsoft.com/office/drawing/2014/main" id="{8E2146EF-00BE-4355-947D-60A3E0C0D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168089</xdr:colOff>
      <xdr:row>3</xdr:row>
      <xdr:rowOff>131109</xdr:rowOff>
    </xdr:from>
    <xdr:to>
      <xdr:col>12</xdr:col>
      <xdr:colOff>392206</xdr:colOff>
      <xdr:row>13</xdr:row>
      <xdr:rowOff>26335</xdr:rowOff>
    </xdr:to>
    <xdr:graphicFrame macro="">
      <xdr:nvGraphicFramePr>
        <xdr:cNvPr id="4" name="Chart 3">
          <a:extLst>
            <a:ext uri="{FF2B5EF4-FFF2-40B4-BE49-F238E27FC236}">
              <a16:creationId xmlns:a16="http://schemas.microsoft.com/office/drawing/2014/main" id="{DC4A5BAC-98F8-43B0-9B44-99A98A093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24655</xdr:rowOff>
    </xdr:from>
    <xdr:to>
      <xdr:col>3</xdr:col>
      <xdr:colOff>13447</xdr:colOff>
      <xdr:row>7</xdr:row>
      <xdr:rowOff>179294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B698E80-8FB1-B9E3-264D-A25C79AB4E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96155"/>
              <a:ext cx="1828800" cy="916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22411</xdr:colOff>
      <xdr:row>14</xdr:row>
      <xdr:rowOff>189940</xdr:rowOff>
    </xdr:from>
    <xdr:to>
      <xdr:col>3</xdr:col>
      <xdr:colOff>35858</xdr:colOff>
      <xdr:row>24</xdr:row>
      <xdr:rowOff>67236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F513A8A-9CA9-26AC-066A-0436FDE200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411" y="2856940"/>
              <a:ext cx="1828800" cy="1782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49868</xdr:rowOff>
    </xdr:from>
    <xdr:to>
      <xdr:col>3</xdr:col>
      <xdr:colOff>13447</xdr:colOff>
      <xdr:row>14</xdr:row>
      <xdr:rowOff>78441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5DAE0B-3946-916B-3A17-D53184F923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573868"/>
              <a:ext cx="1828800" cy="117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S" refreshedDate="46320.317831828703" createdVersion="8" refreshedVersion="8" minRefreshableVersion="3" recordCount="1000" xr:uid="{E10265DF-BBEA-4AF6-8464-47737338C86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56905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2"/>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2"/>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2"/>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2"/>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16EAE-60CE-489B-BD93-1FA930E2A15A}"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6:D10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78A986-CE56-4E87-9116-B07D96C2C809}"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D3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EB8203-266E-493D-B068-18F6E06E596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EFFEB-6325-4EA6-8A86-37FA0761DCAE}"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1E3FB4A-2C8A-402B-AC25-428FEDFD8ED6}" sourceName="Marital status">
  <pivotTables>
    <pivotTable tabId="5" name="PivotTable2"/>
    <pivotTable tabId="5" name="PivotTable5"/>
    <pivotTable tabId="5" name="PivotTable6"/>
    <pivotTable tabId="5" name="PivotTable7"/>
  </pivotTables>
  <data>
    <tabular pivotCacheId="2569053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78C3082-3C33-4C64-8087-38FC59D043BA}" sourceName="Education">
  <pivotTables>
    <pivotTable tabId="5" name="PivotTable2"/>
    <pivotTable tabId="5" name="PivotTable5"/>
    <pivotTable tabId="5" name="PivotTable6"/>
    <pivotTable tabId="5" name="PivotTable7"/>
  </pivotTables>
  <data>
    <tabular pivotCacheId="2569053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112C6F-3B41-4CD5-A42A-30CD29C271B7}" sourceName="Region">
  <pivotTables>
    <pivotTable tabId="5" name="PivotTable2"/>
    <pivotTable tabId="5" name="PivotTable5"/>
    <pivotTable tabId="5" name="PivotTable6"/>
    <pivotTable tabId="5" name="PivotTable7"/>
  </pivotTables>
  <data>
    <tabular pivotCacheId="2569053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40EFADE-1175-4112-B834-75A3AB09767B}" cache="Slicer_Marital_status" caption="Marital status" style="SlicerStyleLight4" rowHeight="241300"/>
  <slicer name="Education" xr10:uid="{EB060EE1-5410-4DC8-B8A8-78F9898C4896}" cache="Slicer_Education" caption="Education" style="SlicerStyleLight4" rowHeight="241300"/>
  <slicer name="Region" xr10:uid="{401B8153-EA6D-4D08-BF79-23CF8A48BFF6}" cache="Slicer_Region" caption="Region" style="SlicerStyleLight4"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6" sqref="O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2CCB-6DA3-41C8-9B14-A10765FD5D8C}">
  <dimension ref="A1:N1001"/>
  <sheetViews>
    <sheetView topLeftCell="A980" workbookViewId="0">
      <selection activeCell="B2" sqref="B2"/>
    </sheetView>
  </sheetViews>
  <sheetFormatPr defaultRowHeight="15" x14ac:dyDescent="0.25"/>
  <cols>
    <col min="4" max="4" width="11.140625" bestFit="1" customWidth="1"/>
    <col min="5" max="5" width="8.5703125" bestFit="1" customWidth="1"/>
    <col min="6" max="6" width="17.7109375" bestFit="1" customWidth="1"/>
    <col min="7" max="7" width="14.140625" bestFit="1" customWidth="1"/>
  </cols>
  <sheetData>
    <row r="1" spans="1:14" x14ac:dyDescent="0.25">
      <c r="A1" t="s">
        <v>0</v>
      </c>
      <c r="B1" t="s">
        <v>41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IF(L15&gt;54, "Old", IF(L15&gt;=31, "Middle Age", IF(L15&lt;31, "Adolescent", "Invalid")))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IF(L16&gt;54, "Old", IF(L16&gt;=31, "Middle Age", IF(L16&lt;31, "Adolescent", "Invalid")))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Middle Age</v>
      </c>
      <c r="N4" t="s">
        <v>18</v>
      </c>
    </row>
    <row r="5" spans="1:14" x14ac:dyDescent="0.25">
      <c r="A5">
        <v>24381</v>
      </c>
      <c r="B5" t="s">
        <v>37</v>
      </c>
      <c r="C5" t="s">
        <v>39</v>
      </c>
      <c r="D5" s="1">
        <v>70000</v>
      </c>
      <c r="E5">
        <v>0</v>
      </c>
      <c r="F5" t="s">
        <v>13</v>
      </c>
      <c r="G5" t="s">
        <v>21</v>
      </c>
      <c r="H5" t="s">
        <v>15</v>
      </c>
      <c r="I5">
        <v>1</v>
      </c>
      <c r="J5" t="s">
        <v>23</v>
      </c>
      <c r="K5" t="s">
        <v>24</v>
      </c>
      <c r="L5">
        <v>41</v>
      </c>
      <c r="M5" t="str">
        <f t="shared" si="0"/>
        <v>Old</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Old</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Middle Age</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1">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Adolescent</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Middle Age</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Old</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Adolescent</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30</v>
      </c>
      <c r="K23" t="s">
        <v>24</v>
      </c>
      <c r="L23">
        <v>35</v>
      </c>
      <c r="M23" t="str">
        <f t="shared" si="0"/>
        <v>Old</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Middle Age</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Adolescent</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Adolescent</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Middle Age</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Old</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Middle Age</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Middle Age</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Old</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Middle Age</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Middle Age</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Old</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Old</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Middle Age</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Old</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Middle Age</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Middle Age</v>
      </c>
      <c r="N52" t="s">
        <v>18</v>
      </c>
    </row>
    <row r="53" spans="1:14" x14ac:dyDescent="0.25">
      <c r="A53">
        <v>20619</v>
      </c>
      <c r="B53" t="s">
        <v>37</v>
      </c>
      <c r="C53" t="s">
        <v>39</v>
      </c>
      <c r="D53" s="1">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Middle Age</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30</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Adolescent</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Middle Age</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Old</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30</v>
      </c>
      <c r="K65" t="s">
        <v>24</v>
      </c>
      <c r="L65">
        <v>41</v>
      </c>
      <c r="M65" t="str">
        <f t="shared" si="0"/>
        <v>Adolescent</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Adolescent</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IF(L80&gt;54, "Old", IF(L80&gt;=31, "Middle Age", IF(L80&lt;31, "Adolescent", "Invalid")))</f>
        <v>Middle Age</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Old</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Middle Age</v>
      </c>
      <c r="N71" t="s">
        <v>18</v>
      </c>
    </row>
    <row r="72" spans="1:14" x14ac:dyDescent="0.25">
      <c r="A72">
        <v>14238</v>
      </c>
      <c r="B72" t="s">
        <v>36</v>
      </c>
      <c r="C72" t="s">
        <v>39</v>
      </c>
      <c r="D72" s="1">
        <v>120000</v>
      </c>
      <c r="E72">
        <v>0</v>
      </c>
      <c r="F72" t="s">
        <v>29</v>
      </c>
      <c r="G72" t="s">
        <v>21</v>
      </c>
      <c r="H72" t="s">
        <v>15</v>
      </c>
      <c r="I72">
        <v>4</v>
      </c>
      <c r="J72" t="s">
        <v>30</v>
      </c>
      <c r="K72" t="s">
        <v>24</v>
      </c>
      <c r="L72">
        <v>36</v>
      </c>
      <c r="M72" t="str">
        <f t="shared" si="1"/>
        <v>Adolescent</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Adolescent</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Middle Age</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Adolescent</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Middle Age</v>
      </c>
      <c r="N78" t="s">
        <v>18</v>
      </c>
    </row>
    <row r="79" spans="1:14" x14ac:dyDescent="0.25">
      <c r="A79">
        <v>27969</v>
      </c>
      <c r="B79" t="s">
        <v>36</v>
      </c>
      <c r="C79" t="s">
        <v>39</v>
      </c>
      <c r="D79" s="1">
        <v>80000</v>
      </c>
      <c r="E79">
        <v>0</v>
      </c>
      <c r="F79" t="s">
        <v>13</v>
      </c>
      <c r="G79" t="s">
        <v>21</v>
      </c>
      <c r="H79" t="s">
        <v>15</v>
      </c>
      <c r="I79">
        <v>2</v>
      </c>
      <c r="J79" t="s">
        <v>30</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Adolescent</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Middle Age</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Old</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Old</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Middle Age</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Middle Age</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Middle Age</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Adolescent</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1">
        <v>90000</v>
      </c>
      <c r="E97">
        <v>5</v>
      </c>
      <c r="F97" t="s">
        <v>19</v>
      </c>
      <c r="G97" t="s">
        <v>21</v>
      </c>
      <c r="H97" t="s">
        <v>15</v>
      </c>
      <c r="I97">
        <v>2</v>
      </c>
      <c r="J97" t="s">
        <v>30</v>
      </c>
      <c r="K97" t="s">
        <v>17</v>
      </c>
      <c r="L97">
        <v>62</v>
      </c>
      <c r="M97" t="str">
        <f t="shared" si="1"/>
        <v>Middle Age</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Middle Age</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Adolescent</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Adolescent</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Old</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Adolescent</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Old</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Middle Age</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Middle Age</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Middle Age</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Old</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Old</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Adolescent</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IF(L144&gt;54, "Old", IF(L144&gt;=31, "Middle Age", IF(L144&lt;31, "Adolescent", "Invalid")))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Middle Age</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Middle Age</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Adolescent</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Middle Age</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Middle Age</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30</v>
      </c>
      <c r="K145" t="s">
        <v>24</v>
      </c>
      <c r="L145">
        <v>32</v>
      </c>
      <c r="M145" t="str">
        <f t="shared" si="2"/>
        <v>Old</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Middle Age</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Middle Age</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Adolescent</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Adolescent</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Middle Age</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Adolescent</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Adolescent</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Middle Age</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Old</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Old</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Old</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Old</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Middle Age</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Old</v>
      </c>
      <c r="N179" t="s">
        <v>18</v>
      </c>
    </row>
    <row r="180" spans="1:14" x14ac:dyDescent="0.25">
      <c r="A180">
        <v>14191</v>
      </c>
      <c r="B180" t="s">
        <v>36</v>
      </c>
      <c r="C180" t="s">
        <v>39</v>
      </c>
      <c r="D180" s="1">
        <v>160000</v>
      </c>
      <c r="E180">
        <v>4</v>
      </c>
      <c r="F180" t="s">
        <v>19</v>
      </c>
      <c r="G180" t="s">
        <v>21</v>
      </c>
      <c r="H180" t="s">
        <v>18</v>
      </c>
      <c r="I180">
        <v>2</v>
      </c>
      <c r="J180" t="s">
        <v>30</v>
      </c>
      <c r="K180" t="s">
        <v>17</v>
      </c>
      <c r="L180">
        <v>55</v>
      </c>
      <c r="M180" t="str">
        <f t="shared" si="2"/>
        <v>Middle Age</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Old</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Adolescent</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Middle Age</v>
      </c>
      <c r="N185" t="s">
        <v>15</v>
      </c>
    </row>
    <row r="186" spans="1:14" x14ac:dyDescent="0.25">
      <c r="A186">
        <v>28918</v>
      </c>
      <c r="B186" t="s">
        <v>36</v>
      </c>
      <c r="C186" t="s">
        <v>38</v>
      </c>
      <c r="D186" s="1">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Middle Age</v>
      </c>
      <c r="N188" t="s">
        <v>15</v>
      </c>
    </row>
    <row r="189" spans="1:14" x14ac:dyDescent="0.25">
      <c r="A189">
        <v>18151</v>
      </c>
      <c r="B189" t="s">
        <v>37</v>
      </c>
      <c r="C189" t="s">
        <v>39</v>
      </c>
      <c r="D189" s="1">
        <v>80000</v>
      </c>
      <c r="E189">
        <v>5</v>
      </c>
      <c r="F189" t="s">
        <v>19</v>
      </c>
      <c r="G189" t="s">
        <v>21</v>
      </c>
      <c r="H189" t="s">
        <v>18</v>
      </c>
      <c r="I189">
        <v>2</v>
      </c>
      <c r="J189" t="s">
        <v>30</v>
      </c>
      <c r="K189" t="s">
        <v>17</v>
      </c>
      <c r="L189">
        <v>59</v>
      </c>
      <c r="M189" t="str">
        <f t="shared" si="2"/>
        <v>Middle Age</v>
      </c>
      <c r="N189" t="s">
        <v>18</v>
      </c>
    </row>
    <row r="190" spans="1:14" x14ac:dyDescent="0.25">
      <c r="A190">
        <v>20606</v>
      </c>
      <c r="B190" t="s">
        <v>36</v>
      </c>
      <c r="C190" t="s">
        <v>38</v>
      </c>
      <c r="D190" s="1">
        <v>70000</v>
      </c>
      <c r="E190">
        <v>0</v>
      </c>
      <c r="F190" t="s">
        <v>13</v>
      </c>
      <c r="G190" t="s">
        <v>21</v>
      </c>
      <c r="H190" t="s">
        <v>15</v>
      </c>
      <c r="I190">
        <v>4</v>
      </c>
      <c r="J190" t="s">
        <v>30</v>
      </c>
      <c r="K190" t="s">
        <v>24</v>
      </c>
      <c r="L190">
        <v>32</v>
      </c>
      <c r="M190" t="str">
        <f t="shared" si="2"/>
        <v>Adolescent</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30</v>
      </c>
      <c r="K194" t="s">
        <v>17</v>
      </c>
      <c r="L194">
        <v>62</v>
      </c>
      <c r="M194" t="str">
        <f t="shared" si="2"/>
        <v>Middle Age</v>
      </c>
      <c r="N194" t="s">
        <v>18</v>
      </c>
    </row>
    <row r="195" spans="1:14" x14ac:dyDescent="0.25">
      <c r="A195">
        <v>26032</v>
      </c>
      <c r="B195" t="s">
        <v>36</v>
      </c>
      <c r="C195" t="s">
        <v>38</v>
      </c>
      <c r="D195" s="1">
        <v>70000</v>
      </c>
      <c r="E195">
        <v>5</v>
      </c>
      <c r="F195" t="s">
        <v>13</v>
      </c>
      <c r="G195" t="s">
        <v>21</v>
      </c>
      <c r="H195" t="s">
        <v>15</v>
      </c>
      <c r="I195">
        <v>4</v>
      </c>
      <c r="J195" t="s">
        <v>30</v>
      </c>
      <c r="K195" t="s">
        <v>24</v>
      </c>
      <c r="L195">
        <v>41</v>
      </c>
      <c r="M195" t="str">
        <f t="shared" ref="M195:M258" si="3">IF(L208&gt;54, "Old", IF(L208&gt;=31, "Middle Age", IF(L208&lt;31, "Adolescent", "Invalid")))</f>
        <v>Old</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Adolescent</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Middle Age</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Middle Age</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30</v>
      </c>
      <c r="K201" t="s">
        <v>24</v>
      </c>
      <c r="L201">
        <v>33</v>
      </c>
      <c r="M201" t="str">
        <f t="shared" si="3"/>
        <v>Adolescent</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Old</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Adolescent</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30</v>
      </c>
      <c r="K208" t="s">
        <v>17</v>
      </c>
      <c r="L208">
        <v>62</v>
      </c>
      <c r="M208" t="str">
        <f t="shared" si="3"/>
        <v>Adolescent</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Middle Age</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Old</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Middle Age</v>
      </c>
      <c r="N214" t="s">
        <v>18</v>
      </c>
    </row>
    <row r="215" spans="1:14" x14ac:dyDescent="0.25">
      <c r="A215">
        <v>11451</v>
      </c>
      <c r="B215" t="s">
        <v>37</v>
      </c>
      <c r="C215" t="s">
        <v>39</v>
      </c>
      <c r="D215" s="1">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Middle Age</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Old</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Middle Age</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Adolescent</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Old</v>
      </c>
      <c r="N224" t="s">
        <v>18</v>
      </c>
    </row>
    <row r="225" spans="1:14" x14ac:dyDescent="0.25">
      <c r="A225">
        <v>18711</v>
      </c>
      <c r="B225" t="s">
        <v>37</v>
      </c>
      <c r="C225" t="s">
        <v>38</v>
      </c>
      <c r="D225" s="1">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Adolescent</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Adolescent</v>
      </c>
      <c r="N230" t="s">
        <v>18</v>
      </c>
    </row>
    <row r="231" spans="1:14" x14ac:dyDescent="0.25">
      <c r="A231">
        <v>28915</v>
      </c>
      <c r="B231" t="s">
        <v>37</v>
      </c>
      <c r="C231" t="s">
        <v>39</v>
      </c>
      <c r="D231" s="1">
        <v>80000</v>
      </c>
      <c r="E231">
        <v>5</v>
      </c>
      <c r="F231" t="s">
        <v>27</v>
      </c>
      <c r="G231" t="s">
        <v>28</v>
      </c>
      <c r="H231" t="s">
        <v>15</v>
      </c>
      <c r="I231">
        <v>3</v>
      </c>
      <c r="J231" t="s">
        <v>30</v>
      </c>
      <c r="K231" t="s">
        <v>17</v>
      </c>
      <c r="L231">
        <v>57</v>
      </c>
      <c r="M231" t="str">
        <f t="shared" si="3"/>
        <v>Middle Age</v>
      </c>
      <c r="N231" t="s">
        <v>18</v>
      </c>
    </row>
    <row r="232" spans="1:14" x14ac:dyDescent="0.25">
      <c r="A232">
        <v>22830</v>
      </c>
      <c r="B232" t="s">
        <v>36</v>
      </c>
      <c r="C232" t="s">
        <v>39</v>
      </c>
      <c r="D232" s="1">
        <v>120000</v>
      </c>
      <c r="E232">
        <v>4</v>
      </c>
      <c r="F232" t="s">
        <v>19</v>
      </c>
      <c r="G232" t="s">
        <v>28</v>
      </c>
      <c r="H232" t="s">
        <v>15</v>
      </c>
      <c r="I232">
        <v>3</v>
      </c>
      <c r="J232" t="s">
        <v>30</v>
      </c>
      <c r="K232" t="s">
        <v>17</v>
      </c>
      <c r="L232">
        <v>56</v>
      </c>
      <c r="M232" t="str">
        <f t="shared" si="3"/>
        <v>Adolescent</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Middle Age</v>
      </c>
      <c r="N235" t="s">
        <v>15</v>
      </c>
    </row>
    <row r="236" spans="1:14" x14ac:dyDescent="0.25">
      <c r="A236">
        <v>24611</v>
      </c>
      <c r="B236" t="s">
        <v>37</v>
      </c>
      <c r="C236" t="s">
        <v>39</v>
      </c>
      <c r="D236" s="1">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Old</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Old</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Old</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Old</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Middle Age</v>
      </c>
      <c r="N245" t="s">
        <v>18</v>
      </c>
    </row>
    <row r="246" spans="1:14" x14ac:dyDescent="0.25">
      <c r="A246">
        <v>19057</v>
      </c>
      <c r="B246" t="s">
        <v>36</v>
      </c>
      <c r="C246" t="s">
        <v>38</v>
      </c>
      <c r="D246" s="1">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Old</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Middle Age</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Middle Age</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30</v>
      </c>
      <c r="K255" t="s">
        <v>17</v>
      </c>
      <c r="L255">
        <v>59</v>
      </c>
      <c r="M255" t="str">
        <f t="shared" si="3"/>
        <v>Adolescent</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Middle Age</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IF(L272&gt;54, "Old", IF(L272&gt;=31, "Middle Age", IF(L272&lt;31, "Adolescent", "Invalid")))</f>
        <v>Middle Age</v>
      </c>
      <c r="N259" t="s">
        <v>15</v>
      </c>
    </row>
    <row r="260" spans="1:14" x14ac:dyDescent="0.25">
      <c r="A260">
        <v>14193</v>
      </c>
      <c r="B260" t="s">
        <v>37</v>
      </c>
      <c r="C260" t="s">
        <v>38</v>
      </c>
      <c r="D260" s="1">
        <v>100000</v>
      </c>
      <c r="E260">
        <v>3</v>
      </c>
      <c r="F260" t="s">
        <v>19</v>
      </c>
      <c r="G260" t="s">
        <v>28</v>
      </c>
      <c r="H260" t="s">
        <v>15</v>
      </c>
      <c r="I260">
        <v>4</v>
      </c>
      <c r="J260" t="s">
        <v>30</v>
      </c>
      <c r="K260" t="s">
        <v>17</v>
      </c>
      <c r="L260">
        <v>56</v>
      </c>
      <c r="M260" t="str">
        <f t="shared" si="4"/>
        <v>Adolescent</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Adolescent</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Middle Age</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Middle Age</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Middle Age</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Old</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Old</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Adolescent</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Old</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Old</v>
      </c>
      <c r="N296" t="s">
        <v>15</v>
      </c>
    </row>
    <row r="297" spans="1:14" x14ac:dyDescent="0.25">
      <c r="A297">
        <v>21557</v>
      </c>
      <c r="B297" t="s">
        <v>37</v>
      </c>
      <c r="C297" t="s">
        <v>38</v>
      </c>
      <c r="D297" s="1">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Middle Age</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Middle Age</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Middle Age</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Old</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Middle Age</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Middle Age</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Middle Age</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Adolescent</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30</v>
      </c>
      <c r="K320" t="s">
        <v>17</v>
      </c>
      <c r="L320">
        <v>54</v>
      </c>
      <c r="M320" t="str">
        <f t="shared" si="4"/>
        <v>Adolescent</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IF(L336&gt;54, "Old", IF(L336&gt;=31, "Middle Age", IF(L336&lt;31, "Adolescent", "Invalid")))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Old</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Adolescent</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30</v>
      </c>
      <c r="K331" t="s">
        <v>17</v>
      </c>
      <c r="L331">
        <v>59</v>
      </c>
      <c r="M331" t="str">
        <f t="shared" si="5"/>
        <v>Middle Age</v>
      </c>
      <c r="N331" t="s">
        <v>18</v>
      </c>
    </row>
    <row r="332" spans="1:14" x14ac:dyDescent="0.25">
      <c r="A332">
        <v>24898</v>
      </c>
      <c r="B332" t="s">
        <v>37</v>
      </c>
      <c r="C332" t="s">
        <v>38</v>
      </c>
      <c r="D332" s="1">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Adolescent</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Adolescent</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Middle Age</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Adolescent</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Adolescent</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Middle Age</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Old</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30</v>
      </c>
      <c r="K357" t="s">
        <v>24</v>
      </c>
      <c r="L357">
        <v>32</v>
      </c>
      <c r="M357" t="str">
        <f t="shared" si="5"/>
        <v>Old</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Middle Age</v>
      </c>
      <c r="N360" t="s">
        <v>15</v>
      </c>
    </row>
    <row r="361" spans="1:14" x14ac:dyDescent="0.25">
      <c r="A361">
        <v>17230</v>
      </c>
      <c r="B361" t="s">
        <v>36</v>
      </c>
      <c r="C361" t="s">
        <v>39</v>
      </c>
      <c r="D361" s="1">
        <v>80000</v>
      </c>
      <c r="E361">
        <v>0</v>
      </c>
      <c r="F361" t="s">
        <v>13</v>
      </c>
      <c r="G361" t="s">
        <v>21</v>
      </c>
      <c r="H361" t="s">
        <v>15</v>
      </c>
      <c r="I361">
        <v>3</v>
      </c>
      <c r="J361" t="s">
        <v>30</v>
      </c>
      <c r="K361" t="s">
        <v>24</v>
      </c>
      <c r="L361">
        <v>30</v>
      </c>
      <c r="M361" t="str">
        <f t="shared" si="5"/>
        <v>Middle Age</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Adolescent</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Middle Age</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Old</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Old</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Adolescent</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Adolescent</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Middle Age</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Middle Age</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30</v>
      </c>
      <c r="K382" t="s">
        <v>24</v>
      </c>
      <c r="L382">
        <v>30</v>
      </c>
      <c r="M382" t="str">
        <f t="shared" si="5"/>
        <v>Middle Age</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Middle Age</v>
      </c>
      <c r="N383" t="s">
        <v>18</v>
      </c>
    </row>
    <row r="384" spans="1:14" x14ac:dyDescent="0.25">
      <c r="A384">
        <v>13586</v>
      </c>
      <c r="B384" t="s">
        <v>36</v>
      </c>
      <c r="C384" t="s">
        <v>39</v>
      </c>
      <c r="D384" s="1">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Old</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IF(L400&gt;54, "Old", IF(L400&gt;=31, "Middle Age", IF(L400&lt;31, "Adolescent", "Invalid")))</f>
        <v>Middle Age</v>
      </c>
      <c r="N387" t="s">
        <v>18</v>
      </c>
    </row>
    <row r="388" spans="1:14" x14ac:dyDescent="0.25">
      <c r="A388">
        <v>28957</v>
      </c>
      <c r="B388" t="s">
        <v>37</v>
      </c>
      <c r="C388" t="s">
        <v>38</v>
      </c>
      <c r="D388" s="1">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Middle Age</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30</v>
      </c>
      <c r="K402" t="s">
        <v>17</v>
      </c>
      <c r="L402">
        <v>53</v>
      </c>
      <c r="M402" t="str">
        <f t="shared" si="6"/>
        <v>Old</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Middle Age</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Old</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Old</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Adolescent</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Adolescent</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30</v>
      </c>
      <c r="K422" t="s">
        <v>17</v>
      </c>
      <c r="L422">
        <v>59</v>
      </c>
      <c r="M422" t="str">
        <f t="shared" si="6"/>
        <v>Adolescent</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30</v>
      </c>
      <c r="K424" t="s">
        <v>24</v>
      </c>
      <c r="L424">
        <v>32</v>
      </c>
      <c r="M424" t="str">
        <f t="shared" si="6"/>
        <v>Old</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Adolescent</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Middle Age</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Middle Age</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Middle Age</v>
      </c>
      <c r="N433" t="s">
        <v>15</v>
      </c>
    </row>
    <row r="434" spans="1:14" x14ac:dyDescent="0.25">
      <c r="A434">
        <v>21891</v>
      </c>
      <c r="B434" t="s">
        <v>36</v>
      </c>
      <c r="C434" t="s">
        <v>38</v>
      </c>
      <c r="D434" s="1">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Middle Age</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Middle Age</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Middle Age</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Old</v>
      </c>
      <c r="N441" t="s">
        <v>18</v>
      </c>
    </row>
    <row r="442" spans="1:14" x14ac:dyDescent="0.25">
      <c r="A442">
        <v>21561</v>
      </c>
      <c r="B442" t="s">
        <v>37</v>
      </c>
      <c r="C442" t="s">
        <v>39</v>
      </c>
      <c r="D442" s="1">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Old</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IF(L464&gt;54, "Old", IF(L464&gt;=31, "Middle Age", IF(L464&lt;31, "Adolescent", "Invalid")))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Adolescent</v>
      </c>
      <c r="N459" t="s">
        <v>18</v>
      </c>
    </row>
    <row r="460" spans="1:14" x14ac:dyDescent="0.25">
      <c r="A460">
        <v>21560</v>
      </c>
      <c r="B460" t="s">
        <v>36</v>
      </c>
      <c r="C460" t="s">
        <v>39</v>
      </c>
      <c r="D460" s="1">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Old</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Middle Age</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Middle Age</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Old</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Old</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Middle Age</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Old</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Old</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Middle Age</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30</v>
      </c>
      <c r="K488" t="s">
        <v>17</v>
      </c>
      <c r="L488">
        <v>58</v>
      </c>
      <c r="M488" t="str">
        <f t="shared" si="7"/>
        <v>Middle Age</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Adolescent</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30</v>
      </c>
      <c r="K495" t="s">
        <v>32</v>
      </c>
      <c r="L495">
        <v>60</v>
      </c>
      <c r="M495" t="str">
        <f t="shared" si="7"/>
        <v>Middle Age</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30</v>
      </c>
      <c r="K497" t="s">
        <v>32</v>
      </c>
      <c r="L497">
        <v>56</v>
      </c>
      <c r="M497" t="str">
        <f t="shared" si="7"/>
        <v>Adolescent</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Old</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Old</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Middle Age</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Old</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Old</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Old</v>
      </c>
      <c r="N514" t="s">
        <v>15</v>
      </c>
    </row>
    <row r="515" spans="1:14" x14ac:dyDescent="0.25">
      <c r="A515">
        <v>13353</v>
      </c>
      <c r="B515" t="s">
        <v>37</v>
      </c>
      <c r="C515" t="s">
        <v>38</v>
      </c>
      <c r="D515" s="1">
        <v>60000</v>
      </c>
      <c r="E515">
        <v>4</v>
      </c>
      <c r="F515" t="s">
        <v>31</v>
      </c>
      <c r="G515" t="s">
        <v>28</v>
      </c>
      <c r="H515" t="s">
        <v>15</v>
      </c>
      <c r="I515">
        <v>2</v>
      </c>
      <c r="J515" t="s">
        <v>30</v>
      </c>
      <c r="K515" t="s">
        <v>32</v>
      </c>
      <c r="L515">
        <v>61</v>
      </c>
      <c r="M515" t="str">
        <f t="shared" ref="M515:M578" si="8">IF(L528&gt;54, "Old", IF(L528&gt;=31, "Middle Age", IF(L528&lt;31, "Adolescent", "Invalid")))</f>
        <v>Middle Age</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Adolescent</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Old</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Adolescent</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Adolescent</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Middle Age</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Old</v>
      </c>
      <c r="N522" t="s">
        <v>18</v>
      </c>
    </row>
    <row r="523" spans="1:14" x14ac:dyDescent="0.25">
      <c r="A523">
        <v>18976</v>
      </c>
      <c r="B523" t="s">
        <v>37</v>
      </c>
      <c r="C523" t="s">
        <v>39</v>
      </c>
      <c r="D523" s="1">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Middle Age</v>
      </c>
      <c r="N526" t="s">
        <v>18</v>
      </c>
    </row>
    <row r="527" spans="1:14" x14ac:dyDescent="0.25">
      <c r="A527">
        <v>16791</v>
      </c>
      <c r="B527" t="s">
        <v>37</v>
      </c>
      <c r="C527" t="s">
        <v>39</v>
      </c>
      <c r="D527" s="1">
        <v>60000</v>
      </c>
      <c r="E527">
        <v>5</v>
      </c>
      <c r="F527" t="s">
        <v>13</v>
      </c>
      <c r="G527" t="s">
        <v>28</v>
      </c>
      <c r="H527" t="s">
        <v>15</v>
      </c>
      <c r="I527">
        <v>3</v>
      </c>
      <c r="J527" t="s">
        <v>30</v>
      </c>
      <c r="K527" t="s">
        <v>32</v>
      </c>
      <c r="L527">
        <v>59</v>
      </c>
      <c r="M527" t="str">
        <f t="shared" si="8"/>
        <v>Middle Age</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Middle Age</v>
      </c>
      <c r="N530" t="s">
        <v>18</v>
      </c>
    </row>
    <row r="531" spans="1:14" x14ac:dyDescent="0.25">
      <c r="A531">
        <v>13233</v>
      </c>
      <c r="B531" t="s">
        <v>36</v>
      </c>
      <c r="C531" t="s">
        <v>39</v>
      </c>
      <c r="D531" s="1">
        <v>60000</v>
      </c>
      <c r="E531">
        <v>2</v>
      </c>
      <c r="F531" t="s">
        <v>19</v>
      </c>
      <c r="G531" t="s">
        <v>21</v>
      </c>
      <c r="H531" t="s">
        <v>15</v>
      </c>
      <c r="I531">
        <v>1</v>
      </c>
      <c r="J531" t="s">
        <v>30</v>
      </c>
      <c r="K531" t="s">
        <v>32</v>
      </c>
      <c r="L531">
        <v>57</v>
      </c>
      <c r="M531" t="str">
        <f t="shared" si="8"/>
        <v>Adolescent</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Middle Age</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Middle Age</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Adolescent</v>
      </c>
      <c r="N534" t="s">
        <v>15</v>
      </c>
    </row>
    <row r="535" spans="1:14" x14ac:dyDescent="0.25">
      <c r="A535">
        <v>24941</v>
      </c>
      <c r="B535" t="s">
        <v>36</v>
      </c>
      <c r="C535" t="s">
        <v>39</v>
      </c>
      <c r="D535" s="1">
        <v>60000</v>
      </c>
      <c r="E535">
        <v>3</v>
      </c>
      <c r="F535" t="s">
        <v>13</v>
      </c>
      <c r="G535" t="s">
        <v>28</v>
      </c>
      <c r="H535" t="s">
        <v>15</v>
      </c>
      <c r="I535">
        <v>2</v>
      </c>
      <c r="J535" t="s">
        <v>30</v>
      </c>
      <c r="K535" t="s">
        <v>32</v>
      </c>
      <c r="L535">
        <v>66</v>
      </c>
      <c r="M535" t="str">
        <f t="shared" si="8"/>
        <v>Middle Age</v>
      </c>
      <c r="N535" t="s">
        <v>18</v>
      </c>
    </row>
    <row r="536" spans="1:14" x14ac:dyDescent="0.25">
      <c r="A536">
        <v>24637</v>
      </c>
      <c r="B536" t="s">
        <v>36</v>
      </c>
      <c r="C536" t="s">
        <v>39</v>
      </c>
      <c r="D536" s="1">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Old</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Middle Age</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Middle Age</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Old</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Adolescent</v>
      </c>
      <c r="N552" t="s">
        <v>15</v>
      </c>
    </row>
    <row r="553" spans="1:14" x14ac:dyDescent="0.25">
      <c r="A553">
        <v>27393</v>
      </c>
      <c r="B553" t="s">
        <v>36</v>
      </c>
      <c r="C553" t="s">
        <v>38</v>
      </c>
      <c r="D553" s="1">
        <v>50000</v>
      </c>
      <c r="E553">
        <v>4</v>
      </c>
      <c r="F553" t="s">
        <v>13</v>
      </c>
      <c r="G553" t="s">
        <v>28</v>
      </c>
      <c r="H553" t="s">
        <v>15</v>
      </c>
      <c r="I553">
        <v>2</v>
      </c>
      <c r="J553" t="s">
        <v>30</v>
      </c>
      <c r="K553" t="s">
        <v>32</v>
      </c>
      <c r="L553">
        <v>63</v>
      </c>
      <c r="M553" t="str">
        <f t="shared" si="8"/>
        <v>Adolescent</v>
      </c>
      <c r="N553" t="s">
        <v>18</v>
      </c>
    </row>
    <row r="554" spans="1:14" x14ac:dyDescent="0.25">
      <c r="A554">
        <v>14417</v>
      </c>
      <c r="B554" t="s">
        <v>37</v>
      </c>
      <c r="C554" t="s">
        <v>39</v>
      </c>
      <c r="D554" s="1">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Old</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Old</v>
      </c>
      <c r="N560" t="s">
        <v>18</v>
      </c>
    </row>
    <row r="561" spans="1:14" x14ac:dyDescent="0.25">
      <c r="A561">
        <v>15895</v>
      </c>
      <c r="B561" t="s">
        <v>37</v>
      </c>
      <c r="C561" t="s">
        <v>38</v>
      </c>
      <c r="D561" s="1">
        <v>60000</v>
      </c>
      <c r="E561">
        <v>2</v>
      </c>
      <c r="F561" t="s">
        <v>13</v>
      </c>
      <c r="G561" t="s">
        <v>28</v>
      </c>
      <c r="H561" t="s">
        <v>15</v>
      </c>
      <c r="I561">
        <v>0</v>
      </c>
      <c r="J561" t="s">
        <v>30</v>
      </c>
      <c r="K561" t="s">
        <v>32</v>
      </c>
      <c r="L561">
        <v>58</v>
      </c>
      <c r="M561" t="str">
        <f t="shared" si="8"/>
        <v>Adolescent</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Old</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Old</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Middle Age</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Middle Age</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Middle Age</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Old</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Adolescent</v>
      </c>
      <c r="N570" t="s">
        <v>15</v>
      </c>
    </row>
    <row r="571" spans="1:14" x14ac:dyDescent="0.25">
      <c r="A571">
        <v>26452</v>
      </c>
      <c r="B571" t="s">
        <v>37</v>
      </c>
      <c r="C571" t="s">
        <v>39</v>
      </c>
      <c r="D571" s="1">
        <v>50000</v>
      </c>
      <c r="E571">
        <v>3</v>
      </c>
      <c r="F571" t="s">
        <v>31</v>
      </c>
      <c r="G571" t="s">
        <v>28</v>
      </c>
      <c r="H571" t="s">
        <v>15</v>
      </c>
      <c r="I571">
        <v>2</v>
      </c>
      <c r="J571" t="s">
        <v>30</v>
      </c>
      <c r="K571" t="s">
        <v>32</v>
      </c>
      <c r="L571">
        <v>69</v>
      </c>
      <c r="M571" t="str">
        <f t="shared" si="8"/>
        <v>Middle Age</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Middle Age</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30</v>
      </c>
      <c r="K577" t="s">
        <v>32</v>
      </c>
      <c r="L577">
        <v>56</v>
      </c>
      <c r="M577" t="str">
        <f t="shared" si="8"/>
        <v>Middle Age</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Old</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IF(L592&gt;54, "Old", IF(L592&gt;=31, "Middle Age", IF(L592&lt;31, "Adolescent", "Invalid")))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30</v>
      </c>
      <c r="K582" t="s">
        <v>32</v>
      </c>
      <c r="L582">
        <v>69</v>
      </c>
      <c r="M582" t="str">
        <f t="shared" si="9"/>
        <v>Middle Age</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Old</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Old</v>
      </c>
      <c r="N584" t="s">
        <v>18</v>
      </c>
    </row>
    <row r="585" spans="1:14" x14ac:dyDescent="0.25">
      <c r="A585">
        <v>24943</v>
      </c>
      <c r="B585" t="s">
        <v>36</v>
      </c>
      <c r="C585" t="s">
        <v>39</v>
      </c>
      <c r="D585" s="1">
        <v>60000</v>
      </c>
      <c r="E585">
        <v>3</v>
      </c>
      <c r="F585" t="s">
        <v>13</v>
      </c>
      <c r="G585" t="s">
        <v>28</v>
      </c>
      <c r="H585" t="s">
        <v>15</v>
      </c>
      <c r="I585">
        <v>2</v>
      </c>
      <c r="J585" t="s">
        <v>30</v>
      </c>
      <c r="K585" t="s">
        <v>32</v>
      </c>
      <c r="L585">
        <v>66</v>
      </c>
      <c r="M585" t="str">
        <f t="shared" si="9"/>
        <v>Middle Age</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Old</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30</v>
      </c>
      <c r="K591" t="s">
        <v>32</v>
      </c>
      <c r="L591">
        <v>57</v>
      </c>
      <c r="M591" t="str">
        <f t="shared" si="9"/>
        <v>Middle Age</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30</v>
      </c>
      <c r="K593" t="s">
        <v>32</v>
      </c>
      <c r="L593">
        <v>61</v>
      </c>
      <c r="M593" t="str">
        <f t="shared" si="9"/>
        <v>Adolescent</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Middle Age</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Middle Age</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Middle Age</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Adolescent</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Middle Age</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Adolescent</v>
      </c>
      <c r="N608" t="s">
        <v>18</v>
      </c>
    </row>
    <row r="609" spans="1:14" x14ac:dyDescent="0.25">
      <c r="A609">
        <v>16145</v>
      </c>
      <c r="B609" t="s">
        <v>37</v>
      </c>
      <c r="C609" t="s">
        <v>38</v>
      </c>
      <c r="D609" s="1">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Old</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Adolescent</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Old</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Adolescent</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Old</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Adolescent</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Middle Age</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Old</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Middle Age</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Old</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Old</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Middle Age</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Middle Age</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Middle Age</v>
      </c>
      <c r="N642" t="s">
        <v>15</v>
      </c>
    </row>
    <row r="643" spans="1:14" x14ac:dyDescent="0.25">
      <c r="A643">
        <v>21441</v>
      </c>
      <c r="B643" t="s">
        <v>36</v>
      </c>
      <c r="C643" t="s">
        <v>39</v>
      </c>
      <c r="D643" s="1">
        <v>50000</v>
      </c>
      <c r="E643">
        <v>4</v>
      </c>
      <c r="F643" t="s">
        <v>13</v>
      </c>
      <c r="G643" t="s">
        <v>28</v>
      </c>
      <c r="H643" t="s">
        <v>15</v>
      </c>
      <c r="I643">
        <v>2</v>
      </c>
      <c r="J643" t="s">
        <v>30</v>
      </c>
      <c r="K643" t="s">
        <v>32</v>
      </c>
      <c r="L643">
        <v>64</v>
      </c>
      <c r="M643" t="str">
        <f t="shared" ref="M643:M706" si="10">IF(L656&gt;54, "Old", IF(L656&gt;=31, "Middle Age", IF(L656&lt;31, "Adolescent", "Invalid")))</f>
        <v>Middle Age</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Old</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Adolescent</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30</v>
      </c>
      <c r="K652" t="s">
        <v>32</v>
      </c>
      <c r="L652">
        <v>67</v>
      </c>
      <c r="M652" t="str">
        <f t="shared" si="10"/>
        <v>Middle Age</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Old</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Old</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30</v>
      </c>
      <c r="K661" t="s">
        <v>32</v>
      </c>
      <c r="L661">
        <v>63</v>
      </c>
      <c r="M661" t="str">
        <f t="shared" si="10"/>
        <v>Adolescent</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Middle Age</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Old</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Old</v>
      </c>
      <c r="N668" t="s">
        <v>15</v>
      </c>
    </row>
    <row r="669" spans="1:14" x14ac:dyDescent="0.25">
      <c r="A669">
        <v>20505</v>
      </c>
      <c r="B669" t="s">
        <v>36</v>
      </c>
      <c r="C669" t="s">
        <v>38</v>
      </c>
      <c r="D669" s="1">
        <v>40000</v>
      </c>
      <c r="E669">
        <v>5</v>
      </c>
      <c r="F669" t="s">
        <v>27</v>
      </c>
      <c r="G669" t="s">
        <v>21</v>
      </c>
      <c r="H669" t="s">
        <v>18</v>
      </c>
      <c r="I669">
        <v>2</v>
      </c>
      <c r="J669" t="s">
        <v>30</v>
      </c>
      <c r="K669" t="s">
        <v>32</v>
      </c>
      <c r="L669">
        <v>61</v>
      </c>
      <c r="M669" t="str">
        <f t="shared" si="10"/>
        <v>Middle Age</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30</v>
      </c>
      <c r="K672" t="s">
        <v>32</v>
      </c>
      <c r="L672">
        <v>59</v>
      </c>
      <c r="M672" t="str">
        <f t="shared" si="10"/>
        <v>Middle Age</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Middle Age</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Adolescent</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Adolescent</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Adolescent</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Middle Age</v>
      </c>
      <c r="N680" t="s">
        <v>18</v>
      </c>
    </row>
    <row r="681" spans="1:14" x14ac:dyDescent="0.25">
      <c r="A681">
        <v>21770</v>
      </c>
      <c r="B681" t="s">
        <v>36</v>
      </c>
      <c r="C681" t="s">
        <v>39</v>
      </c>
      <c r="D681" s="1">
        <v>60000</v>
      </c>
      <c r="E681">
        <v>4</v>
      </c>
      <c r="F681" t="s">
        <v>13</v>
      </c>
      <c r="G681" t="s">
        <v>28</v>
      </c>
      <c r="H681" t="s">
        <v>15</v>
      </c>
      <c r="I681">
        <v>2</v>
      </c>
      <c r="J681" t="s">
        <v>30</v>
      </c>
      <c r="K681" t="s">
        <v>32</v>
      </c>
      <c r="L681">
        <v>60</v>
      </c>
      <c r="M681" t="str">
        <f t="shared" si="10"/>
        <v>Middle Age</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Adolescent</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Adolescent</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Old</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Middle Age</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Old</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Old</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Old</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Middle Age</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Old</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Old</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Middle Age</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30</v>
      </c>
      <c r="K707" t="s">
        <v>32</v>
      </c>
      <c r="L707">
        <v>59</v>
      </c>
      <c r="M707" t="str">
        <f t="shared" ref="M707:M770" si="11">IF(L720&gt;54, "Old", IF(L720&gt;=31, "Middle Age", IF(L720&lt;31, "Adolescent", "Invalid")))</f>
        <v>Middle Age</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Old</v>
      </c>
      <c r="N709" t="s">
        <v>15</v>
      </c>
    </row>
    <row r="710" spans="1:14" x14ac:dyDescent="0.25">
      <c r="A710">
        <v>18069</v>
      </c>
      <c r="B710" t="s">
        <v>36</v>
      </c>
      <c r="C710" t="s">
        <v>39</v>
      </c>
      <c r="D710" s="1">
        <v>70000</v>
      </c>
      <c r="E710">
        <v>5</v>
      </c>
      <c r="F710" t="s">
        <v>13</v>
      </c>
      <c r="G710" t="s">
        <v>28</v>
      </c>
      <c r="H710" t="s">
        <v>15</v>
      </c>
      <c r="I710">
        <v>4</v>
      </c>
      <c r="J710" t="s">
        <v>30</v>
      </c>
      <c r="K710" t="s">
        <v>32</v>
      </c>
      <c r="L710">
        <v>60</v>
      </c>
      <c r="M710" t="str">
        <f t="shared" si="11"/>
        <v>Middle Age</v>
      </c>
      <c r="N710" t="s">
        <v>18</v>
      </c>
    </row>
    <row r="711" spans="1:14" x14ac:dyDescent="0.25">
      <c r="A711">
        <v>23712</v>
      </c>
      <c r="B711" t="s">
        <v>37</v>
      </c>
      <c r="C711" t="s">
        <v>38</v>
      </c>
      <c r="D711" s="1">
        <v>70000</v>
      </c>
      <c r="E711">
        <v>2</v>
      </c>
      <c r="F711" t="s">
        <v>13</v>
      </c>
      <c r="G711" t="s">
        <v>28</v>
      </c>
      <c r="H711" t="s">
        <v>15</v>
      </c>
      <c r="I711">
        <v>1</v>
      </c>
      <c r="J711" t="s">
        <v>30</v>
      </c>
      <c r="K711" t="s">
        <v>32</v>
      </c>
      <c r="L711">
        <v>59</v>
      </c>
      <c r="M711" t="str">
        <f t="shared" si="11"/>
        <v>Middle Age</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30</v>
      </c>
      <c r="K713" t="s">
        <v>32</v>
      </c>
      <c r="L713">
        <v>58</v>
      </c>
      <c r="M713" t="str">
        <f t="shared" si="11"/>
        <v>Middle Age</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Middle Age</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Middle Age</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Adolescent</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Middle Age</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Adolescent</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Adolescent</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Middle Age</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Adolescent</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Old</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Old</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Old</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Old</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30</v>
      </c>
      <c r="K741" t="s">
        <v>32</v>
      </c>
      <c r="L741">
        <v>55</v>
      </c>
      <c r="M741" t="str">
        <f t="shared" si="11"/>
        <v>Middle Age</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Old</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30</v>
      </c>
      <c r="K746" t="s">
        <v>32</v>
      </c>
      <c r="L746">
        <v>56</v>
      </c>
      <c r="M746" t="str">
        <f t="shared" si="11"/>
        <v>Middle Age</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30</v>
      </c>
      <c r="K748" t="s">
        <v>32</v>
      </c>
      <c r="L748">
        <v>56</v>
      </c>
      <c r="M748" t="str">
        <f t="shared" si="11"/>
        <v>Middle Age</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Middle Age</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Adolescent</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Middle Age</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30</v>
      </c>
      <c r="K763" t="s">
        <v>32</v>
      </c>
      <c r="L763">
        <v>59</v>
      </c>
      <c r="M763" t="str">
        <f t="shared" si="11"/>
        <v>Middle Age</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Old</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IF(L784&gt;54, "Old", IF(L784&gt;=31, "Middle Age", IF(L784&lt;31, "Adolescent", "Invalid")))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Adolescent</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Old</v>
      </c>
      <c r="N776" t="s">
        <v>15</v>
      </c>
    </row>
    <row r="777" spans="1:14" x14ac:dyDescent="0.25">
      <c r="A777">
        <v>29030</v>
      </c>
      <c r="B777" t="s">
        <v>36</v>
      </c>
      <c r="C777" t="s">
        <v>39</v>
      </c>
      <c r="D777" s="1">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Middle Age</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Middle Age</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Adolescent</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30</v>
      </c>
      <c r="K782" t="s">
        <v>32</v>
      </c>
      <c r="L782">
        <v>55</v>
      </c>
      <c r="M782" t="str">
        <f t="shared" si="12"/>
        <v>Middle Age</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Old</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Old</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Adolescent</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Middle Age</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Old</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Adolescent</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Adolescent</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Middle Age</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Middle Age</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Middle Age</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Old</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Middle Age</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Middle Age</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Adolescent</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Adolescent</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Middle Age</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30</v>
      </c>
      <c r="K814" t="s">
        <v>32</v>
      </c>
      <c r="L814">
        <v>61</v>
      </c>
      <c r="M814" t="str">
        <f t="shared" si="12"/>
        <v>Middle Age</v>
      </c>
      <c r="N814" t="s">
        <v>18</v>
      </c>
    </row>
    <row r="815" spans="1:14" x14ac:dyDescent="0.25">
      <c r="A815">
        <v>25899</v>
      </c>
      <c r="B815" t="s">
        <v>36</v>
      </c>
      <c r="C815" t="s">
        <v>38</v>
      </c>
      <c r="D815" s="1">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Middle Age</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Old</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Middle Age</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Adolescent</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Old</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Middle Age</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Old</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IF(L848&gt;54, "Old", IF(L848&gt;=31, "Middle Age", IF(L848&lt;31, "Adolescent", "Invalid")))</f>
        <v>Old</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Adolescent</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Old</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Old</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Middle Age</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Adolescent</v>
      </c>
      <c r="N845" t="s">
        <v>18</v>
      </c>
    </row>
    <row r="846" spans="1:14" x14ac:dyDescent="0.25">
      <c r="A846">
        <v>22743</v>
      </c>
      <c r="B846" t="s">
        <v>36</v>
      </c>
      <c r="C846" t="s">
        <v>38</v>
      </c>
      <c r="D846" s="1">
        <v>40000</v>
      </c>
      <c r="E846">
        <v>5</v>
      </c>
      <c r="F846" t="s">
        <v>27</v>
      </c>
      <c r="G846" t="s">
        <v>21</v>
      </c>
      <c r="H846" t="s">
        <v>15</v>
      </c>
      <c r="I846">
        <v>2</v>
      </c>
      <c r="J846" t="s">
        <v>30</v>
      </c>
      <c r="K846" t="s">
        <v>32</v>
      </c>
      <c r="L846">
        <v>60</v>
      </c>
      <c r="M846" t="str">
        <f t="shared" si="13"/>
        <v>Middle Age</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Middle Age</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Middle Age</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Middle Age</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Middle Age</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Old</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Old</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Middle Age</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Old</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Adolescent</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Old</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Old</v>
      </c>
      <c r="N867" t="s">
        <v>15</v>
      </c>
    </row>
    <row r="868" spans="1:14" x14ac:dyDescent="0.25">
      <c r="A868">
        <v>28052</v>
      </c>
      <c r="B868" t="s">
        <v>36</v>
      </c>
      <c r="C868" t="s">
        <v>39</v>
      </c>
      <c r="D868" s="1">
        <v>60000</v>
      </c>
      <c r="E868">
        <v>2</v>
      </c>
      <c r="F868" t="s">
        <v>27</v>
      </c>
      <c r="G868" t="s">
        <v>21</v>
      </c>
      <c r="H868" t="s">
        <v>15</v>
      </c>
      <c r="I868">
        <v>2</v>
      </c>
      <c r="J868" t="s">
        <v>30</v>
      </c>
      <c r="K868" t="s">
        <v>32</v>
      </c>
      <c r="L868">
        <v>55</v>
      </c>
      <c r="M868" t="str">
        <f t="shared" si="13"/>
        <v>Middle Age</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Middle Age</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Middle Age</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Middle Age</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Old</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Adolescent</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Old</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Old</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Middle Age</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Old</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Middle Age</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IF(L912&gt;54, "Old", IF(L912&gt;=31, "Middle Age", IF(L912&lt;31, "Adolescent", "Invalid")))</f>
        <v>Middle Age</v>
      </c>
      <c r="N899" t="s">
        <v>18</v>
      </c>
    </row>
    <row r="900" spans="1:14" x14ac:dyDescent="0.25">
      <c r="A900">
        <v>18066</v>
      </c>
      <c r="B900" t="s">
        <v>37</v>
      </c>
      <c r="C900" t="s">
        <v>39</v>
      </c>
      <c r="D900" s="1">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Old</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Middle Age</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Old</v>
      </c>
      <c r="N908" t="s">
        <v>15</v>
      </c>
    </row>
    <row r="909" spans="1:14" x14ac:dyDescent="0.25">
      <c r="A909">
        <v>19747</v>
      </c>
      <c r="B909" t="s">
        <v>36</v>
      </c>
      <c r="C909" t="s">
        <v>39</v>
      </c>
      <c r="D909" s="1">
        <v>50000</v>
      </c>
      <c r="E909">
        <v>4</v>
      </c>
      <c r="F909" t="s">
        <v>13</v>
      </c>
      <c r="G909" t="s">
        <v>28</v>
      </c>
      <c r="H909" t="s">
        <v>15</v>
      </c>
      <c r="I909">
        <v>2</v>
      </c>
      <c r="J909" t="s">
        <v>30</v>
      </c>
      <c r="K909" t="s">
        <v>32</v>
      </c>
      <c r="L909">
        <v>63</v>
      </c>
      <c r="M909" t="str">
        <f t="shared" si="14"/>
        <v>Middle Age</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Middle Age</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Old</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30</v>
      </c>
      <c r="K917" t="s">
        <v>32</v>
      </c>
      <c r="L917">
        <v>64</v>
      </c>
      <c r="M917" t="str">
        <f t="shared" si="14"/>
        <v>Middle Age</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30</v>
      </c>
      <c r="K921" t="s">
        <v>32</v>
      </c>
      <c r="L921">
        <v>61</v>
      </c>
      <c r="M921" t="str">
        <f t="shared" si="14"/>
        <v>Adolescent</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Adolescent</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Old</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Adolescent</v>
      </c>
      <c r="N927" t="s">
        <v>15</v>
      </c>
    </row>
    <row r="928" spans="1:14" x14ac:dyDescent="0.25">
      <c r="A928">
        <v>26495</v>
      </c>
      <c r="B928" t="s">
        <v>37</v>
      </c>
      <c r="C928" t="s">
        <v>38</v>
      </c>
      <c r="D928" s="1">
        <v>40000</v>
      </c>
      <c r="E928">
        <v>2</v>
      </c>
      <c r="F928" t="s">
        <v>27</v>
      </c>
      <c r="G928" t="s">
        <v>21</v>
      </c>
      <c r="H928" t="s">
        <v>15</v>
      </c>
      <c r="I928">
        <v>2</v>
      </c>
      <c r="J928" t="s">
        <v>30</v>
      </c>
      <c r="K928" t="s">
        <v>32</v>
      </c>
      <c r="L928">
        <v>57</v>
      </c>
      <c r="M928" t="str">
        <f t="shared" si="14"/>
        <v>Middle Age</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Middle Age</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Old</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Middle Age</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Middle Age</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Middle Age</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Adolescent</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Adolescent</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Middle Age</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Old</v>
      </c>
      <c r="N950" t="s">
        <v>18</v>
      </c>
    </row>
    <row r="951" spans="1:14" x14ac:dyDescent="0.25">
      <c r="A951">
        <v>28056</v>
      </c>
      <c r="B951" t="s">
        <v>36</v>
      </c>
      <c r="C951" t="s">
        <v>39</v>
      </c>
      <c r="D951" s="1">
        <v>70000</v>
      </c>
      <c r="E951">
        <v>2</v>
      </c>
      <c r="F951" t="s">
        <v>29</v>
      </c>
      <c r="G951" t="s">
        <v>14</v>
      </c>
      <c r="H951" t="s">
        <v>15</v>
      </c>
      <c r="I951">
        <v>2</v>
      </c>
      <c r="J951" t="s">
        <v>30</v>
      </c>
      <c r="K951" t="s">
        <v>32</v>
      </c>
      <c r="L951">
        <v>53</v>
      </c>
      <c r="M951" t="str">
        <f t="shared" si="14"/>
        <v>Old</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Old</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Old</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Middle Age</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Middle Age</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Old</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Adolescent</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Middle Age</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IF(L976&gt;54, "Old", IF(L976&gt;=31, "Middle Age", IF(L976&lt;31, "Adolescent", "Invalid")))</f>
        <v>Middle Age</v>
      </c>
      <c r="N963" t="s">
        <v>18</v>
      </c>
    </row>
    <row r="964" spans="1:14" x14ac:dyDescent="0.25">
      <c r="A964">
        <v>16813</v>
      </c>
      <c r="B964" t="s">
        <v>36</v>
      </c>
      <c r="C964" t="s">
        <v>39</v>
      </c>
      <c r="D964" s="1">
        <v>60000</v>
      </c>
      <c r="E964">
        <v>2</v>
      </c>
      <c r="F964" t="s">
        <v>19</v>
      </c>
      <c r="G964" t="s">
        <v>21</v>
      </c>
      <c r="H964" t="s">
        <v>15</v>
      </c>
      <c r="I964">
        <v>2</v>
      </c>
      <c r="J964" t="s">
        <v>30</v>
      </c>
      <c r="K964" t="s">
        <v>32</v>
      </c>
      <c r="L964">
        <v>55</v>
      </c>
      <c r="M964" t="str">
        <f t="shared" si="15"/>
        <v>Middle Age</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Middle Age</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Middle Age</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Old</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Old</v>
      </c>
      <c r="N977" t="s">
        <v>15</v>
      </c>
    </row>
    <row r="978" spans="1:14" x14ac:dyDescent="0.25">
      <c r="A978">
        <v>28004</v>
      </c>
      <c r="B978" t="s">
        <v>36</v>
      </c>
      <c r="C978" t="s">
        <v>38</v>
      </c>
      <c r="D978" s="1">
        <v>60000</v>
      </c>
      <c r="E978">
        <v>3</v>
      </c>
      <c r="F978" t="s">
        <v>13</v>
      </c>
      <c r="G978" t="s">
        <v>28</v>
      </c>
      <c r="H978" t="s">
        <v>15</v>
      </c>
      <c r="I978">
        <v>2</v>
      </c>
      <c r="J978" t="s">
        <v>30</v>
      </c>
      <c r="K978" t="s">
        <v>32</v>
      </c>
      <c r="L978">
        <v>66</v>
      </c>
      <c r="M978" t="str">
        <f t="shared" si="15"/>
        <v>Middle Age</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Adolescent</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30</v>
      </c>
      <c r="K988" t="s">
        <v>32</v>
      </c>
      <c r="L988">
        <v>60</v>
      </c>
      <c r="M988" t="str">
        <f t="shared" si="15"/>
        <v>Middle Age</v>
      </c>
      <c r="N988" t="s">
        <v>15</v>
      </c>
    </row>
    <row r="989" spans="1:14" x14ac:dyDescent="0.25">
      <c r="A989">
        <v>28972</v>
      </c>
      <c r="B989" t="s">
        <v>37</v>
      </c>
      <c r="C989" t="s">
        <v>38</v>
      </c>
      <c r="D989" s="1">
        <v>60000</v>
      </c>
      <c r="E989">
        <v>3</v>
      </c>
      <c r="F989" t="s">
        <v>31</v>
      </c>
      <c r="G989" t="s">
        <v>28</v>
      </c>
      <c r="H989" t="s">
        <v>15</v>
      </c>
      <c r="I989">
        <v>2</v>
      </c>
      <c r="J989" t="s">
        <v>30</v>
      </c>
      <c r="K989" t="s">
        <v>32</v>
      </c>
      <c r="L989">
        <v>66</v>
      </c>
      <c r="M989" t="str">
        <f t="shared" si="15"/>
        <v>Adolescent</v>
      </c>
      <c r="N989" t="s">
        <v>18</v>
      </c>
    </row>
    <row r="990" spans="1:14" x14ac:dyDescent="0.25">
      <c r="A990">
        <v>22730</v>
      </c>
      <c r="B990" t="s">
        <v>36</v>
      </c>
      <c r="C990" t="s">
        <v>39</v>
      </c>
      <c r="D990" s="1">
        <v>70000</v>
      </c>
      <c r="E990">
        <v>5</v>
      </c>
      <c r="F990" t="s">
        <v>13</v>
      </c>
      <c r="G990" t="s">
        <v>28</v>
      </c>
      <c r="H990" t="s">
        <v>15</v>
      </c>
      <c r="I990">
        <v>2</v>
      </c>
      <c r="J990" t="s">
        <v>30</v>
      </c>
      <c r="K990" t="s">
        <v>32</v>
      </c>
      <c r="L990">
        <v>63</v>
      </c>
      <c r="M990" t="str">
        <f t="shared" si="15"/>
        <v>Adolescent</v>
      </c>
      <c r="N990" t="s">
        <v>18</v>
      </c>
    </row>
    <row r="991" spans="1:14" x14ac:dyDescent="0.25">
      <c r="A991">
        <v>29134</v>
      </c>
      <c r="B991" t="s">
        <v>36</v>
      </c>
      <c r="C991" t="s">
        <v>39</v>
      </c>
      <c r="D991" s="1">
        <v>60000</v>
      </c>
      <c r="E991">
        <v>4</v>
      </c>
      <c r="F991" t="s">
        <v>13</v>
      </c>
      <c r="G991" t="s">
        <v>14</v>
      </c>
      <c r="H991" t="s">
        <v>18</v>
      </c>
      <c r="I991">
        <v>3</v>
      </c>
      <c r="J991" t="s">
        <v>30</v>
      </c>
      <c r="K991" t="s">
        <v>32</v>
      </c>
      <c r="L991">
        <v>42</v>
      </c>
      <c r="M991" t="str">
        <f t="shared" si="15"/>
        <v>Adolescent</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Adolescent</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Adolescent</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Adolescent</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Adolescent</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Adolescent</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Adolescent</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Adolescent</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Adolescent</v>
      </c>
      <c r="N1000" t="s">
        <v>18</v>
      </c>
    </row>
    <row r="1001" spans="1:14" x14ac:dyDescent="0.25">
      <c r="A1001">
        <v>12121</v>
      </c>
      <c r="B1001" t="s">
        <v>37</v>
      </c>
      <c r="C1001" t="s">
        <v>39</v>
      </c>
      <c r="D1001" s="1">
        <v>60000</v>
      </c>
      <c r="E1001">
        <v>3</v>
      </c>
      <c r="F1001" t="s">
        <v>27</v>
      </c>
      <c r="G1001" t="s">
        <v>21</v>
      </c>
      <c r="H1001" t="s">
        <v>15</v>
      </c>
      <c r="I1001">
        <v>2</v>
      </c>
      <c r="J1001" t="s">
        <v>30</v>
      </c>
      <c r="K1001" t="s">
        <v>32</v>
      </c>
      <c r="L1001">
        <v>53</v>
      </c>
      <c r="M1001" t="str">
        <f t="shared" si="15"/>
        <v>Adolescent</v>
      </c>
      <c r="N1001" t="s">
        <v>15</v>
      </c>
    </row>
  </sheetData>
  <autoFilter ref="A1:N1001" xr:uid="{DFDB2CCB-6DA3-41C8-9B14-A10765FD5D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0AE5-DFAC-42BC-B0D5-81AB7E3E1810}">
  <dimension ref="A3:D101"/>
  <sheetViews>
    <sheetView topLeftCell="A25" workbookViewId="0">
      <selection activeCell="M38" sqref="M38"/>
    </sheetView>
  </sheetViews>
  <sheetFormatPr defaultRowHeight="15" x14ac:dyDescent="0.25"/>
  <cols>
    <col min="1" max="1" width="22.85546875" bestFit="1" customWidth="1"/>
    <col min="2" max="2" width="16.28515625" style="3" bestFit="1" customWidth="1"/>
    <col min="3" max="3" width="4.140625" style="3" bestFit="1" customWidth="1"/>
    <col min="4" max="4" width="11.28515625" style="3" bestFit="1" customWidth="1"/>
  </cols>
  <sheetData>
    <row r="3" spans="1:4" x14ac:dyDescent="0.25">
      <c r="A3" s="5" t="s">
        <v>47</v>
      </c>
      <c r="B3" s="5" t="s">
        <v>48</v>
      </c>
      <c r="C3"/>
      <c r="D3"/>
    </row>
    <row r="4" spans="1:4" x14ac:dyDescent="0.25">
      <c r="A4" s="5" t="s">
        <v>42</v>
      </c>
      <c r="B4" t="s">
        <v>18</v>
      </c>
      <c r="C4" t="s">
        <v>15</v>
      </c>
      <c r="D4" t="s">
        <v>43</v>
      </c>
    </row>
    <row r="5" spans="1:4" x14ac:dyDescent="0.25">
      <c r="A5" s="6" t="s">
        <v>38</v>
      </c>
      <c r="B5" s="4">
        <v>53440</v>
      </c>
      <c r="C5" s="4">
        <v>55774.058577405856</v>
      </c>
      <c r="D5" s="4">
        <v>54580.777096114522</v>
      </c>
    </row>
    <row r="6" spans="1:4" x14ac:dyDescent="0.25">
      <c r="A6" s="6" t="s">
        <v>39</v>
      </c>
      <c r="B6" s="4">
        <v>56208.178438661707</v>
      </c>
      <c r="C6" s="4">
        <v>60123.966942148763</v>
      </c>
      <c r="D6" s="4">
        <v>58062.62230919765</v>
      </c>
    </row>
    <row r="7" spans="1:4" x14ac:dyDescent="0.25">
      <c r="A7" s="6" t="s">
        <v>43</v>
      </c>
      <c r="B7" s="4">
        <v>54874.759152215796</v>
      </c>
      <c r="C7" s="4">
        <v>57962.577962577961</v>
      </c>
      <c r="D7" s="4">
        <v>56360</v>
      </c>
    </row>
    <row r="15" spans="1:4" x14ac:dyDescent="0.25">
      <c r="A15" s="5" t="s">
        <v>49</v>
      </c>
      <c r="B15" s="5" t="s">
        <v>48</v>
      </c>
      <c r="C15"/>
      <c r="D15"/>
    </row>
    <row r="16" spans="1:4" x14ac:dyDescent="0.25">
      <c r="A16" s="5" t="s">
        <v>42</v>
      </c>
      <c r="B16" t="s">
        <v>18</v>
      </c>
      <c r="C16" t="s">
        <v>15</v>
      </c>
      <c r="D16" t="s">
        <v>43</v>
      </c>
    </row>
    <row r="17" spans="1:4" x14ac:dyDescent="0.25">
      <c r="A17" s="6" t="s">
        <v>16</v>
      </c>
      <c r="B17" s="4">
        <v>166</v>
      </c>
      <c r="C17" s="4">
        <v>200</v>
      </c>
      <c r="D17" s="4">
        <v>366</v>
      </c>
    </row>
    <row r="18" spans="1:4" x14ac:dyDescent="0.25">
      <c r="A18" s="6" t="s">
        <v>30</v>
      </c>
      <c r="B18" s="4">
        <v>78</v>
      </c>
      <c r="C18" s="4">
        <v>33</v>
      </c>
      <c r="D18" s="4">
        <v>111</v>
      </c>
    </row>
    <row r="19" spans="1:4" x14ac:dyDescent="0.25">
      <c r="A19" s="6" t="s">
        <v>26</v>
      </c>
      <c r="B19" s="4">
        <v>92</v>
      </c>
      <c r="C19" s="4">
        <v>77</v>
      </c>
      <c r="D19" s="4">
        <v>169</v>
      </c>
    </row>
    <row r="20" spans="1:4" x14ac:dyDescent="0.25">
      <c r="A20" s="6" t="s">
        <v>22</v>
      </c>
      <c r="B20" s="4">
        <v>67</v>
      </c>
      <c r="C20" s="4">
        <v>95</v>
      </c>
      <c r="D20" s="4">
        <v>162</v>
      </c>
    </row>
    <row r="21" spans="1:4" x14ac:dyDescent="0.25">
      <c r="A21" s="6" t="s">
        <v>23</v>
      </c>
      <c r="B21" s="4">
        <v>116</v>
      </c>
      <c r="C21" s="4">
        <v>76</v>
      </c>
      <c r="D21" s="4">
        <v>192</v>
      </c>
    </row>
    <row r="22" spans="1:4" x14ac:dyDescent="0.25">
      <c r="A22" s="6" t="s">
        <v>43</v>
      </c>
      <c r="B22" s="4">
        <v>519</v>
      </c>
      <c r="C22" s="4">
        <v>481</v>
      </c>
      <c r="D22" s="4">
        <v>1000</v>
      </c>
    </row>
    <row r="23" spans="1:4" x14ac:dyDescent="0.25">
      <c r="B23"/>
      <c r="C23"/>
    </row>
    <row r="24" spans="1:4" x14ac:dyDescent="0.25">
      <c r="B24"/>
      <c r="C24"/>
    </row>
    <row r="25" spans="1:4" x14ac:dyDescent="0.25">
      <c r="B25"/>
      <c r="C25"/>
    </row>
    <row r="26" spans="1:4" x14ac:dyDescent="0.25">
      <c r="B26"/>
      <c r="C26"/>
    </row>
    <row r="27" spans="1:4" x14ac:dyDescent="0.25">
      <c r="B27"/>
      <c r="C27"/>
    </row>
    <row r="28" spans="1:4" x14ac:dyDescent="0.25">
      <c r="B28"/>
      <c r="C28"/>
    </row>
    <row r="29" spans="1:4" x14ac:dyDescent="0.25">
      <c r="B29"/>
      <c r="C29"/>
    </row>
    <row r="30" spans="1:4" x14ac:dyDescent="0.25">
      <c r="B30"/>
      <c r="C30"/>
    </row>
    <row r="31" spans="1:4" x14ac:dyDescent="0.25">
      <c r="A31" s="5" t="s">
        <v>49</v>
      </c>
      <c r="B31" s="5" t="s">
        <v>48</v>
      </c>
      <c r="C31"/>
      <c r="D31"/>
    </row>
    <row r="32" spans="1:4" x14ac:dyDescent="0.25">
      <c r="A32" s="5" t="s">
        <v>42</v>
      </c>
      <c r="B32" t="s">
        <v>18</v>
      </c>
      <c r="C32" t="s">
        <v>15</v>
      </c>
      <c r="D32" t="s">
        <v>43</v>
      </c>
    </row>
    <row r="33" spans="1:4" x14ac:dyDescent="0.25">
      <c r="A33" s="6" t="s">
        <v>44</v>
      </c>
      <c r="B33" s="4">
        <v>67</v>
      </c>
      <c r="C33" s="4">
        <v>56</v>
      </c>
      <c r="D33" s="4">
        <v>123</v>
      </c>
    </row>
    <row r="34" spans="1:4" x14ac:dyDescent="0.25">
      <c r="A34" s="6" t="s">
        <v>45</v>
      </c>
      <c r="B34" s="4">
        <v>348</v>
      </c>
      <c r="C34" s="4">
        <v>343</v>
      </c>
      <c r="D34" s="4">
        <v>691</v>
      </c>
    </row>
    <row r="35" spans="1:4" x14ac:dyDescent="0.25">
      <c r="A35" s="6" t="s">
        <v>46</v>
      </c>
      <c r="B35" s="4">
        <v>104</v>
      </c>
      <c r="C35" s="4">
        <v>82</v>
      </c>
      <c r="D35" s="4">
        <v>186</v>
      </c>
    </row>
    <row r="36" spans="1:4" x14ac:dyDescent="0.25">
      <c r="A36" s="6" t="s">
        <v>43</v>
      </c>
      <c r="B36" s="4">
        <v>519</v>
      </c>
      <c r="C36" s="4">
        <v>481</v>
      </c>
      <c r="D36" s="4">
        <v>1000</v>
      </c>
    </row>
    <row r="37" spans="1:4" x14ac:dyDescent="0.25">
      <c r="B37"/>
      <c r="C37"/>
    </row>
    <row r="38" spans="1:4" x14ac:dyDescent="0.25">
      <c r="B38"/>
      <c r="C38"/>
    </row>
    <row r="39" spans="1:4" x14ac:dyDescent="0.25">
      <c r="B39"/>
      <c r="C39"/>
    </row>
    <row r="40" spans="1:4" x14ac:dyDescent="0.25">
      <c r="B40"/>
      <c r="C40"/>
    </row>
    <row r="41" spans="1:4" x14ac:dyDescent="0.25">
      <c r="B41"/>
      <c r="C41"/>
    </row>
    <row r="42" spans="1:4" x14ac:dyDescent="0.25">
      <c r="B42"/>
      <c r="C42"/>
    </row>
    <row r="43" spans="1:4" x14ac:dyDescent="0.25">
      <c r="B43"/>
      <c r="C43"/>
    </row>
    <row r="44" spans="1:4" x14ac:dyDescent="0.25">
      <c r="B44"/>
      <c r="C44"/>
    </row>
    <row r="45" spans="1:4" x14ac:dyDescent="0.25">
      <c r="B45"/>
      <c r="C45"/>
    </row>
    <row r="46" spans="1:4" x14ac:dyDescent="0.25">
      <c r="A46" s="5" t="s">
        <v>49</v>
      </c>
      <c r="B46" s="5" t="s">
        <v>48</v>
      </c>
      <c r="C46"/>
      <c r="D46"/>
    </row>
    <row r="47" spans="1:4" x14ac:dyDescent="0.25">
      <c r="A47" s="5" t="s">
        <v>42</v>
      </c>
      <c r="B47" t="s">
        <v>18</v>
      </c>
      <c r="C47" t="s">
        <v>15</v>
      </c>
      <c r="D47" t="s">
        <v>43</v>
      </c>
    </row>
    <row r="48" spans="1:4" x14ac:dyDescent="0.25">
      <c r="A48" s="6">
        <v>25</v>
      </c>
      <c r="B48" s="4">
        <v>2</v>
      </c>
      <c r="C48" s="4">
        <v>4</v>
      </c>
      <c r="D48" s="4">
        <v>6</v>
      </c>
    </row>
    <row r="49" spans="1:4" x14ac:dyDescent="0.25">
      <c r="A49" s="6">
        <v>26</v>
      </c>
      <c r="B49" s="4">
        <v>8</v>
      </c>
      <c r="C49" s="4">
        <v>8</v>
      </c>
      <c r="D49" s="4">
        <v>16</v>
      </c>
    </row>
    <row r="50" spans="1:4" x14ac:dyDescent="0.25">
      <c r="A50" s="6">
        <v>27</v>
      </c>
      <c r="B50" s="4">
        <v>15</v>
      </c>
      <c r="C50" s="4">
        <v>8</v>
      </c>
      <c r="D50" s="4">
        <v>23</v>
      </c>
    </row>
    <row r="51" spans="1:4" x14ac:dyDescent="0.25">
      <c r="A51" s="6">
        <v>28</v>
      </c>
      <c r="B51" s="4">
        <v>12</v>
      </c>
      <c r="C51" s="4">
        <v>10</v>
      </c>
      <c r="D51" s="4">
        <v>22</v>
      </c>
    </row>
    <row r="52" spans="1:4" x14ac:dyDescent="0.25">
      <c r="A52" s="6">
        <v>29</v>
      </c>
      <c r="B52" s="4">
        <v>11</v>
      </c>
      <c r="C52" s="4">
        <v>5</v>
      </c>
      <c r="D52" s="4">
        <v>16</v>
      </c>
    </row>
    <row r="53" spans="1:4" x14ac:dyDescent="0.25">
      <c r="A53" s="6">
        <v>30</v>
      </c>
      <c r="B53" s="4">
        <v>23</v>
      </c>
      <c r="C53" s="4">
        <v>4</v>
      </c>
      <c r="D53" s="4">
        <v>27</v>
      </c>
    </row>
    <row r="54" spans="1:4" x14ac:dyDescent="0.25">
      <c r="A54" s="6">
        <v>31</v>
      </c>
      <c r="B54" s="4">
        <v>17</v>
      </c>
      <c r="C54" s="4">
        <v>8</v>
      </c>
      <c r="D54" s="4">
        <v>25</v>
      </c>
    </row>
    <row r="55" spans="1:4" x14ac:dyDescent="0.25">
      <c r="A55" s="6">
        <v>32</v>
      </c>
      <c r="B55" s="4">
        <v>19</v>
      </c>
      <c r="C55" s="4">
        <v>14</v>
      </c>
      <c r="D55" s="4">
        <v>33</v>
      </c>
    </row>
    <row r="56" spans="1:4" x14ac:dyDescent="0.25">
      <c r="A56" s="6">
        <v>33</v>
      </c>
      <c r="B56" s="4">
        <v>8</v>
      </c>
      <c r="C56" s="4">
        <v>13</v>
      </c>
      <c r="D56" s="4">
        <v>21</v>
      </c>
    </row>
    <row r="57" spans="1:4" x14ac:dyDescent="0.25">
      <c r="A57" s="6">
        <v>34</v>
      </c>
      <c r="B57" s="4">
        <v>12</v>
      </c>
      <c r="C57" s="4">
        <v>19</v>
      </c>
      <c r="D57" s="4">
        <v>31</v>
      </c>
    </row>
    <row r="58" spans="1:4" x14ac:dyDescent="0.25">
      <c r="A58" s="6">
        <v>35</v>
      </c>
      <c r="B58" s="4">
        <v>14</v>
      </c>
      <c r="C58" s="4">
        <v>22</v>
      </c>
      <c r="D58" s="4">
        <v>36</v>
      </c>
    </row>
    <row r="59" spans="1:4" x14ac:dyDescent="0.25">
      <c r="A59" s="6">
        <v>36</v>
      </c>
      <c r="B59" s="4">
        <v>7</v>
      </c>
      <c r="C59" s="4">
        <v>30</v>
      </c>
      <c r="D59" s="4">
        <v>37</v>
      </c>
    </row>
    <row r="60" spans="1:4" x14ac:dyDescent="0.25">
      <c r="A60" s="6">
        <v>37</v>
      </c>
      <c r="B60" s="4">
        <v>4</v>
      </c>
      <c r="C60" s="4">
        <v>28</v>
      </c>
      <c r="D60" s="4">
        <v>32</v>
      </c>
    </row>
    <row r="61" spans="1:4" x14ac:dyDescent="0.25">
      <c r="A61" s="6">
        <v>38</v>
      </c>
      <c r="B61" s="4">
        <v>8</v>
      </c>
      <c r="C61" s="4">
        <v>29</v>
      </c>
      <c r="D61" s="4">
        <v>37</v>
      </c>
    </row>
    <row r="62" spans="1:4" x14ac:dyDescent="0.25">
      <c r="A62" s="6">
        <v>39</v>
      </c>
      <c r="B62" s="4">
        <v>10</v>
      </c>
      <c r="C62" s="4">
        <v>12</v>
      </c>
      <c r="D62" s="4">
        <v>22</v>
      </c>
    </row>
    <row r="63" spans="1:4" x14ac:dyDescent="0.25">
      <c r="A63" s="6">
        <v>40</v>
      </c>
      <c r="B63" s="4">
        <v>24</v>
      </c>
      <c r="C63" s="4">
        <v>18</v>
      </c>
      <c r="D63" s="4">
        <v>42</v>
      </c>
    </row>
    <row r="64" spans="1:4" x14ac:dyDescent="0.25">
      <c r="A64" s="6">
        <v>41</v>
      </c>
      <c r="B64" s="4">
        <v>13</v>
      </c>
      <c r="C64" s="4">
        <v>15</v>
      </c>
      <c r="D64" s="4">
        <v>28</v>
      </c>
    </row>
    <row r="65" spans="1:4" x14ac:dyDescent="0.25">
      <c r="A65" s="6">
        <v>42</v>
      </c>
      <c r="B65" s="4">
        <v>22</v>
      </c>
      <c r="C65" s="4">
        <v>12</v>
      </c>
      <c r="D65" s="4">
        <v>34</v>
      </c>
    </row>
    <row r="66" spans="1:4" x14ac:dyDescent="0.25">
      <c r="A66" s="6">
        <v>43</v>
      </c>
      <c r="B66" s="4">
        <v>17</v>
      </c>
      <c r="C66" s="4">
        <v>19</v>
      </c>
      <c r="D66" s="4">
        <v>36</v>
      </c>
    </row>
    <row r="67" spans="1:4" x14ac:dyDescent="0.25">
      <c r="A67" s="6">
        <v>44</v>
      </c>
      <c r="B67" s="4">
        <v>15</v>
      </c>
      <c r="C67" s="4">
        <v>12</v>
      </c>
      <c r="D67" s="4">
        <v>27</v>
      </c>
    </row>
    <row r="68" spans="1:4" x14ac:dyDescent="0.25">
      <c r="A68" s="6">
        <v>45</v>
      </c>
      <c r="B68" s="4">
        <v>18</v>
      </c>
      <c r="C68" s="4">
        <v>13</v>
      </c>
      <c r="D68" s="4">
        <v>31</v>
      </c>
    </row>
    <row r="69" spans="1:4" x14ac:dyDescent="0.25">
      <c r="A69" s="6">
        <v>46</v>
      </c>
      <c r="B69" s="4">
        <v>12</v>
      </c>
      <c r="C69" s="4">
        <v>15</v>
      </c>
      <c r="D69" s="4">
        <v>27</v>
      </c>
    </row>
    <row r="70" spans="1:4" x14ac:dyDescent="0.25">
      <c r="A70" s="6">
        <v>47</v>
      </c>
      <c r="B70" s="4">
        <v>19</v>
      </c>
      <c r="C70" s="4">
        <v>20</v>
      </c>
      <c r="D70" s="4">
        <v>39</v>
      </c>
    </row>
    <row r="71" spans="1:4" x14ac:dyDescent="0.25">
      <c r="A71" s="6">
        <v>48</v>
      </c>
      <c r="B71" s="4">
        <v>16</v>
      </c>
      <c r="C71" s="4">
        <v>13</v>
      </c>
      <c r="D71" s="4">
        <v>29</v>
      </c>
    </row>
    <row r="72" spans="1:4" x14ac:dyDescent="0.25">
      <c r="A72" s="6">
        <v>49</v>
      </c>
      <c r="B72" s="4">
        <v>15</v>
      </c>
      <c r="C72" s="4">
        <v>8</v>
      </c>
      <c r="D72" s="4">
        <v>23</v>
      </c>
    </row>
    <row r="73" spans="1:4" x14ac:dyDescent="0.25">
      <c r="A73" s="6">
        <v>50</v>
      </c>
      <c r="B73" s="4">
        <v>12</v>
      </c>
      <c r="C73" s="4">
        <v>12</v>
      </c>
      <c r="D73" s="4">
        <v>24</v>
      </c>
    </row>
    <row r="74" spans="1:4" x14ac:dyDescent="0.25">
      <c r="A74" s="6">
        <v>51</v>
      </c>
      <c r="B74" s="4">
        <v>10</v>
      </c>
      <c r="C74" s="4">
        <v>12</v>
      </c>
      <c r="D74" s="4">
        <v>22</v>
      </c>
    </row>
    <row r="75" spans="1:4" x14ac:dyDescent="0.25">
      <c r="A75" s="6">
        <v>52</v>
      </c>
      <c r="B75" s="4">
        <v>10</v>
      </c>
      <c r="C75" s="4">
        <v>15</v>
      </c>
      <c r="D75" s="4">
        <v>25</v>
      </c>
    </row>
    <row r="76" spans="1:4" x14ac:dyDescent="0.25">
      <c r="A76" s="6">
        <v>53</v>
      </c>
      <c r="B76" s="4">
        <v>11</v>
      </c>
      <c r="C76" s="4">
        <v>13</v>
      </c>
      <c r="D76" s="4">
        <v>24</v>
      </c>
    </row>
    <row r="77" spans="1:4" x14ac:dyDescent="0.25">
      <c r="A77" s="6">
        <v>54</v>
      </c>
      <c r="B77" s="4">
        <v>5</v>
      </c>
      <c r="C77" s="4">
        <v>11</v>
      </c>
      <c r="D77" s="4">
        <v>16</v>
      </c>
    </row>
    <row r="78" spans="1:4" x14ac:dyDescent="0.25">
      <c r="A78" s="6">
        <v>55</v>
      </c>
      <c r="B78" s="4">
        <v>13</v>
      </c>
      <c r="C78" s="4">
        <v>5</v>
      </c>
      <c r="D78" s="4">
        <v>18</v>
      </c>
    </row>
    <row r="79" spans="1:4" x14ac:dyDescent="0.25">
      <c r="A79" s="6">
        <v>56</v>
      </c>
      <c r="B79" s="4">
        <v>13</v>
      </c>
      <c r="C79" s="4">
        <v>3</v>
      </c>
      <c r="D79" s="4">
        <v>16</v>
      </c>
    </row>
    <row r="80" spans="1:4" x14ac:dyDescent="0.25">
      <c r="A80" s="6">
        <v>57</v>
      </c>
      <c r="B80" s="4">
        <v>4</v>
      </c>
      <c r="C80" s="4">
        <v>4</v>
      </c>
      <c r="D80" s="4">
        <v>8</v>
      </c>
    </row>
    <row r="81" spans="1:4" x14ac:dyDescent="0.25">
      <c r="A81" s="6">
        <v>58</v>
      </c>
      <c r="B81" s="4">
        <v>8</v>
      </c>
      <c r="C81" s="4">
        <v>4</v>
      </c>
      <c r="D81" s="4">
        <v>12</v>
      </c>
    </row>
    <row r="82" spans="1:4" x14ac:dyDescent="0.25">
      <c r="A82" s="6">
        <v>59</v>
      </c>
      <c r="B82" s="4">
        <v>14</v>
      </c>
      <c r="C82" s="4">
        <v>6</v>
      </c>
      <c r="D82" s="4">
        <v>20</v>
      </c>
    </row>
    <row r="83" spans="1:4" x14ac:dyDescent="0.25">
      <c r="A83" s="6">
        <v>60</v>
      </c>
      <c r="B83" s="4">
        <v>8</v>
      </c>
      <c r="C83" s="4">
        <v>7</v>
      </c>
      <c r="D83" s="4">
        <v>15</v>
      </c>
    </row>
    <row r="84" spans="1:4" x14ac:dyDescent="0.25">
      <c r="A84" s="6">
        <v>61</v>
      </c>
      <c r="B84" s="4">
        <v>5</v>
      </c>
      <c r="C84" s="4">
        <v>4</v>
      </c>
      <c r="D84" s="4">
        <v>9</v>
      </c>
    </row>
    <row r="85" spans="1:4" x14ac:dyDescent="0.25">
      <c r="A85" s="6">
        <v>62</v>
      </c>
      <c r="B85" s="4">
        <v>9</v>
      </c>
      <c r="C85" s="4">
        <v>4</v>
      </c>
      <c r="D85" s="4">
        <v>13</v>
      </c>
    </row>
    <row r="86" spans="1:4" x14ac:dyDescent="0.25">
      <c r="A86" s="6">
        <v>63</v>
      </c>
      <c r="B86" s="4">
        <v>7</v>
      </c>
      <c r="C86" s="4">
        <v>2</v>
      </c>
      <c r="D86" s="4">
        <v>9</v>
      </c>
    </row>
    <row r="87" spans="1:4" x14ac:dyDescent="0.25">
      <c r="A87" s="6">
        <v>64</v>
      </c>
      <c r="B87" s="4">
        <v>7</v>
      </c>
      <c r="C87" s="4">
        <v>3</v>
      </c>
      <c r="D87" s="4">
        <v>10</v>
      </c>
    </row>
    <row r="88" spans="1:4" x14ac:dyDescent="0.25">
      <c r="A88" s="6">
        <v>65</v>
      </c>
      <c r="B88" s="4">
        <v>6</v>
      </c>
      <c r="C88" s="4">
        <v>3</v>
      </c>
      <c r="D88" s="4">
        <v>9</v>
      </c>
    </row>
    <row r="89" spans="1:4" x14ac:dyDescent="0.25">
      <c r="A89" s="6">
        <v>66</v>
      </c>
      <c r="B89" s="4">
        <v>8</v>
      </c>
      <c r="C89" s="4">
        <v>6</v>
      </c>
      <c r="D89" s="4">
        <v>14</v>
      </c>
    </row>
    <row r="90" spans="1:4" x14ac:dyDescent="0.25">
      <c r="A90" s="6">
        <v>67</v>
      </c>
      <c r="B90" s="4">
        <v>8</v>
      </c>
      <c r="C90" s="4">
        <v>2</v>
      </c>
      <c r="D90" s="4">
        <v>10</v>
      </c>
    </row>
    <row r="91" spans="1:4" x14ac:dyDescent="0.25">
      <c r="A91" s="6">
        <v>68</v>
      </c>
      <c r="B91" s="4">
        <v>3</v>
      </c>
      <c r="C91" s="4"/>
      <c r="D91" s="4">
        <v>3</v>
      </c>
    </row>
    <row r="92" spans="1:4" x14ac:dyDescent="0.25">
      <c r="A92" s="6">
        <v>69</v>
      </c>
      <c r="B92" s="4">
        <v>8</v>
      </c>
      <c r="C92" s="4"/>
      <c r="D92" s="4">
        <v>8</v>
      </c>
    </row>
    <row r="93" spans="1:4" x14ac:dyDescent="0.25">
      <c r="A93" s="6">
        <v>70</v>
      </c>
      <c r="B93" s="4">
        <v>3</v>
      </c>
      <c r="C93" s="4">
        <v>1</v>
      </c>
      <c r="D93" s="4">
        <v>4</v>
      </c>
    </row>
    <row r="94" spans="1:4" x14ac:dyDescent="0.25">
      <c r="A94" s="6">
        <v>71</v>
      </c>
      <c r="B94" s="4">
        <v>1</v>
      </c>
      <c r="C94" s="4"/>
      <c r="D94" s="4">
        <v>1</v>
      </c>
    </row>
    <row r="95" spans="1:4" x14ac:dyDescent="0.25">
      <c r="A95" s="6">
        <v>72</v>
      </c>
      <c r="B95" s="4"/>
      <c r="C95" s="4">
        <v>1</v>
      </c>
      <c r="D95" s="4">
        <v>1</v>
      </c>
    </row>
    <row r="96" spans="1:4" x14ac:dyDescent="0.25">
      <c r="A96" s="6">
        <v>73</v>
      </c>
      <c r="B96" s="4">
        <v>2</v>
      </c>
      <c r="C96" s="4">
        <v>2</v>
      </c>
      <c r="D96" s="4">
        <v>4</v>
      </c>
    </row>
    <row r="97" spans="1:4" x14ac:dyDescent="0.25">
      <c r="A97" s="6">
        <v>74</v>
      </c>
      <c r="B97" s="4"/>
      <c r="C97" s="4">
        <v>1</v>
      </c>
      <c r="D97" s="4">
        <v>1</v>
      </c>
    </row>
    <row r="98" spans="1:4" x14ac:dyDescent="0.25">
      <c r="A98" s="6">
        <v>78</v>
      </c>
      <c r="B98" s="4">
        <v>1</v>
      </c>
      <c r="C98" s="4">
        <v>1</v>
      </c>
      <c r="D98" s="4">
        <v>2</v>
      </c>
    </row>
    <row r="99" spans="1:4" x14ac:dyDescent="0.25">
      <c r="A99" s="6">
        <v>80</v>
      </c>
      <c r="B99" s="4">
        <v>1</v>
      </c>
      <c r="C99" s="4"/>
      <c r="D99" s="4">
        <v>1</v>
      </c>
    </row>
    <row r="100" spans="1:4" x14ac:dyDescent="0.25">
      <c r="A100" s="6">
        <v>89</v>
      </c>
      <c r="B100" s="4">
        <v>1</v>
      </c>
      <c r="C100" s="4"/>
      <c r="D100" s="4">
        <v>1</v>
      </c>
    </row>
    <row r="101" spans="1:4" x14ac:dyDescent="0.25">
      <c r="A101" s="6" t="s">
        <v>43</v>
      </c>
      <c r="B101" s="4">
        <v>519</v>
      </c>
      <c r="C101" s="4">
        <v>481</v>
      </c>
      <c r="D101"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CA5C-FFCC-46EA-8235-E5368DB41D5D}">
  <dimension ref="A1:P3"/>
  <sheetViews>
    <sheetView showGridLines="0" tabSelected="1" zoomScale="85" zoomScaleNormal="85" workbookViewId="0">
      <selection activeCell="T11" sqref="T11"/>
    </sheetView>
  </sheetViews>
  <sheetFormatPr defaultRowHeight="15" x14ac:dyDescent="0.25"/>
  <sheetData>
    <row r="1" spans="1:16" x14ac:dyDescent="0.25">
      <c r="A1" s="7" t="s">
        <v>50</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EMAS</dc:creator>
  <cp:lastModifiedBy>eliya bujilima</cp:lastModifiedBy>
  <dcterms:created xsi:type="dcterms:W3CDTF">2022-03-18T02:50:57Z</dcterms:created>
  <dcterms:modified xsi:type="dcterms:W3CDTF">2026-10-25T05:34:54Z</dcterms:modified>
</cp:coreProperties>
</file>